
<file path=[Content_Types].xml><?xml version="1.0" encoding="utf-8"?>
<Types xmlns="http://schemas.openxmlformats.org/package/2006/content-types">
  <Default Extension="bin" ContentType="application/vnd.openxmlformats-officedocument.spreadsheetml.printerSettings"/>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worksheets/sheet1.xml" ContentType="application/vnd.openxmlformats-officedocument.spreadsheetml.work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480" yWindow="0" windowWidth="8655" windowHeight="2925" tabRatio="630"/>
  </bookViews>
  <sheets>
    <sheet name="TB" sheetId="1" r:id="rId1"/>
    <sheet name="CASH FLOWS" sheetId="11" r:id="rId2"/>
    <sheet name="BS" sheetId="2" r:id="rId3"/>
    <sheet name="Comparative BS" sheetId="10" r:id="rId4"/>
    <sheet name="SIE" sheetId="3" r:id="rId5"/>
    <sheet name="SGE" sheetId="4" r:id="rId6"/>
    <sheet name="schedule" sheetId="9" r:id="rId7"/>
  </sheets>
  <externalReferences>
    <externalReference r:id="rId8"/>
    <externalReference r:id="rId9"/>
    <externalReference r:id="rId10"/>
    <externalReference r:id="rId11"/>
    <externalReference r:id="rId12"/>
    <externalReference r:id="rId13"/>
    <externalReference r:id="rId14"/>
    <externalReference r:id="rId15"/>
  </externalReferences>
  <definedNames>
    <definedName name="_xlnm.Print_Area" localSheetId="2">BS!$A$1:$F$284</definedName>
    <definedName name="_xlnm.Print_Area" localSheetId="6">schedule!$A$1:$E$1477</definedName>
    <definedName name="_xlnm.Print_Area" localSheetId="5">SGE!$A$1:$F$58</definedName>
    <definedName name="_xlnm.Print_Area" localSheetId="4">SIE!$A$1:$H$335</definedName>
    <definedName name="_xlnm.Print_Titles" localSheetId="2">BS!$D:$E,BS!#REF!</definedName>
    <definedName name="_xlnm.Print_Titles" localSheetId="4">SIE!$G:$G,SIE!#REF!</definedName>
    <definedName name="_xlnm.Print_Titles" localSheetId="0">TB!$10:$11</definedName>
  </definedNames>
  <calcPr calcId="124519"/>
</workbook>
</file>

<file path=xl/calcChain.xml><?xml version="1.0" encoding="utf-8"?>
<calcChain xmlns="http://schemas.openxmlformats.org/spreadsheetml/2006/main">
  <c r="I189" i="1"/>
  <c r="H189"/>
  <c r="G38" i="11"/>
  <c r="G39" s="1"/>
  <c r="G35"/>
  <c r="E38"/>
  <c r="E39" s="1"/>
  <c r="E35"/>
  <c r="E24"/>
  <c r="E19"/>
  <c r="E18"/>
  <c r="E17"/>
  <c r="E16"/>
  <c r="G25"/>
  <c r="E25" s="1"/>
  <c r="G22"/>
  <c r="G26" s="1"/>
  <c r="G27" s="1"/>
  <c r="G50" s="1"/>
  <c r="G52" s="1"/>
  <c r="G23"/>
  <c r="E23" s="1"/>
  <c r="G18"/>
  <c r="G19" s="1"/>
  <c r="M181" i="1"/>
  <c r="L18"/>
  <c r="L189"/>
  <c r="L462"/>
  <c r="L181"/>
  <c r="M16"/>
  <c r="M462" s="1"/>
  <c r="I186"/>
  <c r="H184"/>
  <c r="I184"/>
  <c r="H181"/>
  <c r="I181"/>
  <c r="I180"/>
  <c r="I179"/>
  <c r="I178"/>
  <c r="I177"/>
  <c r="H175"/>
  <c r="I41"/>
  <c r="H41"/>
  <c r="I38"/>
  <c r="H18"/>
  <c r="I16"/>
  <c r="H16"/>
  <c r="E27" i="11" l="1"/>
  <c r="E50" s="1"/>
  <c r="E52" s="1"/>
  <c r="E22"/>
  <c r="E26" s="1"/>
  <c r="M475" i="1"/>
  <c r="E1465" i="9"/>
  <c r="E1335"/>
  <c r="E1330"/>
  <c r="E1394"/>
  <c r="E1396"/>
  <c r="E297"/>
  <c r="E423"/>
  <c r="E424"/>
  <c r="E252"/>
  <c r="E253"/>
  <c r="E251"/>
  <c r="E250"/>
  <c r="E249"/>
  <c r="E1421"/>
  <c r="E24"/>
  <c r="E1328"/>
  <c r="E1403"/>
  <c r="E1461"/>
  <c r="E966"/>
  <c r="E913"/>
  <c r="E13"/>
  <c r="E80"/>
  <c r="E17"/>
  <c r="E924"/>
  <c r="G38" i="1"/>
  <c r="F43" i="2" s="1"/>
  <c r="E43" s="1"/>
  <c r="E1466" i="9"/>
  <c r="E1467"/>
  <c r="E1429"/>
  <c r="E1352"/>
  <c r="E1390"/>
  <c r="E1399"/>
  <c r="E1351"/>
  <c r="E1357"/>
  <c r="E1355"/>
  <c r="E1347"/>
  <c r="E1320"/>
  <c r="E999"/>
  <c r="E831"/>
  <c r="E823"/>
  <c r="E49"/>
  <c r="E45"/>
  <c r="E41"/>
  <c r="E34"/>
  <c r="E33"/>
  <c r="E30"/>
  <c r="E1358"/>
  <c r="E1432"/>
  <c r="E1336"/>
  <c r="E1415"/>
  <c r="E1377"/>
  <c r="E1360"/>
  <c r="E1373"/>
  <c r="E1364"/>
  <c r="E1363"/>
  <c r="E1359"/>
  <c r="E1356"/>
  <c r="E1354"/>
  <c r="E1395"/>
  <c r="E962"/>
  <c r="E891"/>
  <c r="E422"/>
  <c r="E421"/>
  <c r="E248"/>
  <c r="E81"/>
  <c r="E40"/>
  <c r="E38"/>
  <c r="I462" i="1"/>
  <c r="J175"/>
  <c r="F240" i="10" s="1"/>
  <c r="E240" s="1"/>
  <c r="A7" i="9"/>
  <c r="E1398"/>
  <c r="E109"/>
  <c r="E110"/>
  <c r="E111"/>
  <c r="E112"/>
  <c r="E113"/>
  <c r="E114"/>
  <c r="E115"/>
  <c r="E116"/>
  <c r="E117"/>
  <c r="E118"/>
  <c r="E121"/>
  <c r="E123"/>
  <c r="E124"/>
  <c r="E125"/>
  <c r="G128" s="1"/>
  <c r="E126"/>
  <c r="E127"/>
  <c r="E129"/>
  <c r="E130"/>
  <c r="E131"/>
  <c r="E133"/>
  <c r="E134"/>
  <c r="E135"/>
  <c r="E136"/>
  <c r="E137"/>
  <c r="E138"/>
  <c r="E139"/>
  <c r="E140"/>
  <c r="E141"/>
  <c r="E142"/>
  <c r="E143"/>
  <c r="E146"/>
  <c r="E148"/>
  <c r="E150"/>
  <c r="K119" s="1"/>
  <c r="E152"/>
  <c r="E154"/>
  <c r="E156"/>
  <c r="E158"/>
  <c r="E159"/>
  <c r="E160"/>
  <c r="E161"/>
  <c r="E162"/>
  <c r="E163"/>
  <c r="E164"/>
  <c r="E165"/>
  <c r="E166"/>
  <c r="E168"/>
  <c r="E169"/>
  <c r="E170"/>
  <c r="E172"/>
  <c r="E175"/>
  <c r="E177"/>
  <c r="E179"/>
  <c r="E180"/>
  <c r="E181"/>
  <c r="E182"/>
  <c r="E184"/>
  <c r="E185"/>
  <c r="E186"/>
  <c r="E187"/>
  <c r="E188"/>
  <c r="E189"/>
  <c r="E190"/>
  <c r="E191"/>
  <c r="E192"/>
  <c r="E193"/>
  <c r="E194"/>
  <c r="E195"/>
  <c r="E196"/>
  <c r="E197"/>
  <c r="E198"/>
  <c r="E199"/>
  <c r="E200"/>
  <c r="E201"/>
  <c r="E202"/>
  <c r="E203"/>
  <c r="E204"/>
  <c r="E205"/>
  <c r="E206"/>
  <c r="E207"/>
  <c r="E208"/>
  <c r="E209"/>
  <c r="E210"/>
  <c r="E211"/>
  <c r="E212"/>
  <c r="E213"/>
  <c r="E214"/>
  <c r="E215"/>
  <c r="E216"/>
  <c r="E217"/>
  <c r="E218"/>
  <c r="E219"/>
  <c r="E220"/>
  <c r="E221"/>
  <c r="E222"/>
  <c r="E223"/>
  <c r="E224"/>
  <c r="E225"/>
  <c r="E226"/>
  <c r="E227"/>
  <c r="E228"/>
  <c r="E229"/>
  <c r="E230"/>
  <c r="E231"/>
  <c r="E232"/>
  <c r="E233"/>
  <c r="G233"/>
  <c r="E234"/>
  <c r="E235"/>
  <c r="E236"/>
  <c r="E237"/>
  <c r="E238"/>
  <c r="E239"/>
  <c r="E240"/>
  <c r="E241"/>
  <c r="E242"/>
  <c r="E243"/>
  <c r="E244"/>
  <c r="E245"/>
  <c r="E246"/>
  <c r="E247"/>
  <c r="E259"/>
  <c r="E262"/>
  <c r="E264"/>
  <c r="E265"/>
  <c r="E268"/>
  <c r="E269"/>
  <c r="E270"/>
  <c r="E272"/>
  <c r="E274"/>
  <c r="E275"/>
  <c r="E277"/>
  <c r="E278"/>
  <c r="E279"/>
  <c r="E280"/>
  <c r="E281"/>
  <c r="E283"/>
  <c r="E287"/>
  <c r="E290"/>
  <c r="E291"/>
  <c r="E292"/>
  <c r="E294"/>
  <c r="E296"/>
  <c r="E299"/>
  <c r="E304"/>
  <c r="E305"/>
  <c r="E306"/>
  <c r="E308"/>
  <c r="E310"/>
  <c r="E311"/>
  <c r="E313"/>
  <c r="E315"/>
  <c r="E316"/>
  <c r="E319"/>
  <c r="E320"/>
  <c r="E323"/>
  <c r="E325"/>
  <c r="E326"/>
  <c r="E327"/>
  <c r="E329"/>
  <c r="E330"/>
  <c r="E331"/>
  <c r="E332"/>
  <c r="E333"/>
  <c r="E335"/>
  <c r="E336"/>
  <c r="E337"/>
  <c r="E339"/>
  <c r="E341"/>
  <c r="E342"/>
  <c r="E346"/>
  <c r="E347"/>
  <c r="E348"/>
  <c r="E349"/>
  <c r="E350"/>
  <c r="E351"/>
  <c r="E353"/>
  <c r="E360"/>
  <c r="E361"/>
  <c r="E362"/>
  <c r="E363"/>
  <c r="E364"/>
  <c r="E365"/>
  <c r="E366"/>
  <c r="E367"/>
  <c r="E368"/>
  <c r="E369"/>
  <c r="E370"/>
  <c r="E371"/>
  <c r="E372"/>
  <c r="E373"/>
  <c r="E374"/>
  <c r="E375"/>
  <c r="E376"/>
  <c r="E377"/>
  <c r="E378"/>
  <c r="E379"/>
  <c r="E380"/>
  <c r="E381"/>
  <c r="E382"/>
  <c r="E383"/>
  <c r="E384"/>
  <c r="E385"/>
  <c r="E386"/>
  <c r="E387"/>
  <c r="E388"/>
  <c r="E389"/>
  <c r="E390"/>
  <c r="E391"/>
  <c r="E392"/>
  <c r="E393"/>
  <c r="E394"/>
  <c r="E395"/>
  <c r="E396"/>
  <c r="E397"/>
  <c r="E398"/>
  <c r="E399"/>
  <c r="E400"/>
  <c r="E401"/>
  <c r="E402"/>
  <c r="E403"/>
  <c r="E404"/>
  <c r="E405"/>
  <c r="E406"/>
  <c r="E407"/>
  <c r="E408"/>
  <c r="E409"/>
  <c r="E410"/>
  <c r="E411"/>
  <c r="E412"/>
  <c r="E413"/>
  <c r="E414"/>
  <c r="E415"/>
  <c r="E416"/>
  <c r="E417"/>
  <c r="E418"/>
  <c r="E419"/>
  <c r="E420"/>
  <c r="E945"/>
  <c r="G276" i="10"/>
  <c r="G270"/>
  <c r="G271"/>
  <c r="I271" s="1"/>
  <c r="G272"/>
  <c r="G261"/>
  <c r="G262"/>
  <c r="I262" s="1"/>
  <c r="G263"/>
  <c r="I263"/>
  <c r="G264"/>
  <c r="G265"/>
  <c r="G266"/>
  <c r="I266"/>
  <c r="G253"/>
  <c r="G254"/>
  <c r="G255"/>
  <c r="G256"/>
  <c r="I256" s="1"/>
  <c r="G257"/>
  <c r="G251"/>
  <c r="G250"/>
  <c r="I250" s="1"/>
  <c r="G243"/>
  <c r="G244"/>
  <c r="G245"/>
  <c r="I245" s="1"/>
  <c r="G246"/>
  <c r="G247"/>
  <c r="G248"/>
  <c r="G249"/>
  <c r="I249" s="1"/>
  <c r="G238"/>
  <c r="G239"/>
  <c r="G240"/>
  <c r="G241"/>
  <c r="I257"/>
  <c r="I254"/>
  <c r="I251"/>
  <c r="I247"/>
  <c r="I246"/>
  <c r="I244"/>
  <c r="I243"/>
  <c r="G227"/>
  <c r="G228"/>
  <c r="I228"/>
  <c r="G229"/>
  <c r="G230"/>
  <c r="G231"/>
  <c r="G232"/>
  <c r="G99"/>
  <c r="G101"/>
  <c r="G102"/>
  <c r="G100"/>
  <c r="I100" s="1"/>
  <c r="G104"/>
  <c r="G105"/>
  <c r="G103" s="1"/>
  <c r="I103" s="1"/>
  <c r="G107"/>
  <c r="G108"/>
  <c r="G106" s="1"/>
  <c r="I106" s="1"/>
  <c r="G110"/>
  <c r="G109" s="1"/>
  <c r="I109" s="1"/>
  <c r="G111"/>
  <c r="G114"/>
  <c r="G115"/>
  <c r="G117"/>
  <c r="G116" s="1"/>
  <c r="I116" s="1"/>
  <c r="G118"/>
  <c r="G120"/>
  <c r="G119" s="1"/>
  <c r="I119" s="1"/>
  <c r="G121"/>
  <c r="G123"/>
  <c r="G124"/>
  <c r="G122" s="1"/>
  <c r="I122" s="1"/>
  <c r="G126"/>
  <c r="G127"/>
  <c r="G125" s="1"/>
  <c r="I125" s="1"/>
  <c r="G130"/>
  <c r="G131"/>
  <c r="G129"/>
  <c r="I129" s="1"/>
  <c r="G133"/>
  <c r="G134"/>
  <c r="G132"/>
  <c r="G136"/>
  <c r="G135" s="1"/>
  <c r="I135" s="1"/>
  <c r="G137"/>
  <c r="G140"/>
  <c r="G139" s="1"/>
  <c r="G141"/>
  <c r="G143"/>
  <c r="G142"/>
  <c r="I142" s="1"/>
  <c r="G144"/>
  <c r="G146"/>
  <c r="G147"/>
  <c r="G149"/>
  <c r="G150"/>
  <c r="G153"/>
  <c r="G152" s="1"/>
  <c r="I152" s="1"/>
  <c r="G154"/>
  <c r="G156"/>
  <c r="G157"/>
  <c r="G159"/>
  <c r="G160"/>
  <c r="I160" s="1"/>
  <c r="G162"/>
  <c r="G163"/>
  <c r="G165"/>
  <c r="G166"/>
  <c r="G164"/>
  <c r="I164" s="1"/>
  <c r="G168"/>
  <c r="G169"/>
  <c r="G167"/>
  <c r="G171"/>
  <c r="G172"/>
  <c r="G170" s="1"/>
  <c r="I170" s="1"/>
  <c r="G174"/>
  <c r="G175"/>
  <c r="G173" s="1"/>
  <c r="I173" s="1"/>
  <c r="G177"/>
  <c r="G178"/>
  <c r="G176"/>
  <c r="I176" s="1"/>
  <c r="G180"/>
  <c r="G181"/>
  <c r="G183"/>
  <c r="G184"/>
  <c r="I184"/>
  <c r="G186"/>
  <c r="G187"/>
  <c r="G190"/>
  <c r="G191"/>
  <c r="G189" s="1"/>
  <c r="G193"/>
  <c r="G194"/>
  <c r="G196"/>
  <c r="G197"/>
  <c r="G199"/>
  <c r="G200"/>
  <c r="G202"/>
  <c r="G203"/>
  <c r="G206"/>
  <c r="G205"/>
  <c r="G207"/>
  <c r="G209"/>
  <c r="I209" s="1"/>
  <c r="G210"/>
  <c r="G212"/>
  <c r="G214"/>
  <c r="G215"/>
  <c r="I215"/>
  <c r="G216"/>
  <c r="I216" s="1"/>
  <c r="G217"/>
  <c r="G218"/>
  <c r="G219"/>
  <c r="I219" s="1"/>
  <c r="G220"/>
  <c r="G221"/>
  <c r="G222"/>
  <c r="G223"/>
  <c r="I223" s="1"/>
  <c r="G224"/>
  <c r="G95"/>
  <c r="G94"/>
  <c r="I94" s="1"/>
  <c r="G90"/>
  <c r="G91"/>
  <c r="G89"/>
  <c r="I89" s="1"/>
  <c r="G92"/>
  <c r="G93"/>
  <c r="G85"/>
  <c r="G84" s="1"/>
  <c r="I84" s="1"/>
  <c r="G86"/>
  <c r="G77"/>
  <c r="G78"/>
  <c r="G79"/>
  <c r="G80"/>
  <c r="I80"/>
  <c r="G81"/>
  <c r="I81"/>
  <c r="G82"/>
  <c r="G83"/>
  <c r="G53"/>
  <c r="G54"/>
  <c r="G55"/>
  <c r="G56"/>
  <c r="I56"/>
  <c r="G52"/>
  <c r="I52" s="1"/>
  <c r="G58"/>
  <c r="G59"/>
  <c r="G60"/>
  <c r="I60" s="1"/>
  <c r="G61"/>
  <c r="G62"/>
  <c r="G63"/>
  <c r="G64"/>
  <c r="I64" s="1"/>
  <c r="G65"/>
  <c r="I65"/>
  <c r="G66"/>
  <c r="G67"/>
  <c r="G68"/>
  <c r="I68"/>
  <c r="G69"/>
  <c r="G70"/>
  <c r="G71"/>
  <c r="G73"/>
  <c r="G74"/>
  <c r="G75"/>
  <c r="G33"/>
  <c r="G34"/>
  <c r="G35"/>
  <c r="I35"/>
  <c r="G36"/>
  <c r="G37"/>
  <c r="G38"/>
  <c r="G39"/>
  <c r="I39" s="1"/>
  <c r="G40"/>
  <c r="I40" s="1"/>
  <c r="G31"/>
  <c r="G32"/>
  <c r="G42"/>
  <c r="I42"/>
  <c r="G43"/>
  <c r="G44"/>
  <c r="G45"/>
  <c r="I45"/>
  <c r="G41"/>
  <c r="G47"/>
  <c r="G46" s="1"/>
  <c r="I46" s="1"/>
  <c r="G49"/>
  <c r="G50"/>
  <c r="G15"/>
  <c r="G16"/>
  <c r="G17"/>
  <c r="G18"/>
  <c r="G20"/>
  <c r="I20"/>
  <c r="G21"/>
  <c r="G22"/>
  <c r="G23"/>
  <c r="G19"/>
  <c r="I19" s="1"/>
  <c r="G25"/>
  <c r="I25"/>
  <c r="G26"/>
  <c r="G27"/>
  <c r="G28"/>
  <c r="I214"/>
  <c r="I50"/>
  <c r="I44"/>
  <c r="I41"/>
  <c r="I34"/>
  <c r="I22"/>
  <c r="I21"/>
  <c r="I18"/>
  <c r="I274"/>
  <c r="I272"/>
  <c r="I270"/>
  <c r="I269"/>
  <c r="I265"/>
  <c r="I264"/>
  <c r="I261"/>
  <c r="I260"/>
  <c r="I259"/>
  <c r="I255"/>
  <c r="I248"/>
  <c r="I241"/>
  <c r="I239"/>
  <c r="I238"/>
  <c r="I231"/>
  <c r="I230"/>
  <c r="I229"/>
  <c r="I227"/>
  <c r="I226"/>
  <c r="I224"/>
  <c r="I222"/>
  <c r="I221"/>
  <c r="I220"/>
  <c r="I218"/>
  <c r="I217"/>
  <c r="I212"/>
  <c r="I207"/>
  <c r="I206"/>
  <c r="I203"/>
  <c r="I202"/>
  <c r="I199"/>
  <c r="I197"/>
  <c r="I194"/>
  <c r="I193"/>
  <c r="I191"/>
  <c r="I190"/>
  <c r="I187"/>
  <c r="I186"/>
  <c r="I183"/>
  <c r="I181"/>
  <c r="I178"/>
  <c r="I177"/>
  <c r="I175"/>
  <c r="I174"/>
  <c r="I172"/>
  <c r="I171"/>
  <c r="I169"/>
  <c r="I168"/>
  <c r="I167"/>
  <c r="I166"/>
  <c r="I165"/>
  <c r="I163"/>
  <c r="I162"/>
  <c r="I159"/>
  <c r="I157"/>
  <c r="I154"/>
  <c r="I153"/>
  <c r="I149"/>
  <c r="I147"/>
  <c r="I144"/>
  <c r="I143"/>
  <c r="I141"/>
  <c r="I140"/>
  <c r="I137"/>
  <c r="I136"/>
  <c r="I134"/>
  <c r="I133"/>
  <c r="I131"/>
  <c r="I130"/>
  <c r="I127"/>
  <c r="I126"/>
  <c r="I124"/>
  <c r="I123"/>
  <c r="I121"/>
  <c r="I120"/>
  <c r="I118"/>
  <c r="I117"/>
  <c r="I115"/>
  <c r="I114"/>
  <c r="I111"/>
  <c r="I110"/>
  <c r="I108"/>
  <c r="I107"/>
  <c r="I105"/>
  <c r="I104"/>
  <c r="I102"/>
  <c r="I101"/>
  <c r="I99"/>
  <c r="I97"/>
  <c r="I95"/>
  <c r="I93"/>
  <c r="I92"/>
  <c r="I90"/>
  <c r="I88"/>
  <c r="I86"/>
  <c r="I85"/>
  <c r="I83"/>
  <c r="I82"/>
  <c r="I79"/>
  <c r="I78"/>
  <c r="I77"/>
  <c r="I75"/>
  <c r="I74"/>
  <c r="I71"/>
  <c r="I70"/>
  <c r="I69"/>
  <c r="I67"/>
  <c r="I66"/>
  <c r="I63"/>
  <c r="I62"/>
  <c r="I61"/>
  <c r="I59"/>
  <c r="I58"/>
  <c r="I55"/>
  <c r="I54"/>
  <c r="I53"/>
  <c r="I47"/>
  <c r="I43"/>
  <c r="I38"/>
  <c r="I37"/>
  <c r="I33"/>
  <c r="I32"/>
  <c r="I31"/>
  <c r="I27"/>
  <c r="I26"/>
  <c r="I23"/>
  <c r="I17"/>
  <c r="I15"/>
  <c r="H276"/>
  <c r="H275" s="1"/>
  <c r="H270"/>
  <c r="H273" s="1"/>
  <c r="H261"/>
  <c r="H267" s="1"/>
  <c r="H253"/>
  <c r="H252" s="1"/>
  <c r="H251"/>
  <c r="H250" s="1"/>
  <c r="H258" s="1"/>
  <c r="H268" s="1"/>
  <c r="H277" s="1"/>
  <c r="H243"/>
  <c r="H242" s="1"/>
  <c r="H238"/>
  <c r="H237" s="1"/>
  <c r="H227"/>
  <c r="H232" s="1"/>
  <c r="H99"/>
  <c r="H101"/>
  <c r="H102"/>
  <c r="H100" s="1"/>
  <c r="H104"/>
  <c r="H105"/>
  <c r="H103" s="1"/>
  <c r="H107"/>
  <c r="H108"/>
  <c r="H110"/>
  <c r="H109" s="1"/>
  <c r="H98" s="1"/>
  <c r="H111"/>
  <c r="H114"/>
  <c r="H115"/>
  <c r="H117"/>
  <c r="H118"/>
  <c r="H120"/>
  <c r="H121"/>
  <c r="H123"/>
  <c r="H122" s="1"/>
  <c r="H124"/>
  <c r="H126"/>
  <c r="H127"/>
  <c r="H130"/>
  <c r="H129" s="1"/>
  <c r="H131"/>
  <c r="H133"/>
  <c r="H134"/>
  <c r="H136"/>
  <c r="H135" s="1"/>
  <c r="H137"/>
  <c r="H140"/>
  <c r="H141"/>
  <c r="H143"/>
  <c r="H144"/>
  <c r="H146"/>
  <c r="H147"/>
  <c r="H149"/>
  <c r="H150"/>
  <c r="H153"/>
  <c r="H152"/>
  <c r="H154"/>
  <c r="H156"/>
  <c r="H157"/>
  <c r="H155"/>
  <c r="H159"/>
  <c r="H160"/>
  <c r="H162"/>
  <c r="H163"/>
  <c r="H165"/>
  <c r="H166"/>
  <c r="H168"/>
  <c r="H169"/>
  <c r="H171"/>
  <c r="H172"/>
  <c r="H174"/>
  <c r="H175"/>
  <c r="H173" s="1"/>
  <c r="H177"/>
  <c r="H178"/>
  <c r="H180"/>
  <c r="H181"/>
  <c r="H183"/>
  <c r="H184"/>
  <c r="H186"/>
  <c r="H187"/>
  <c r="E187" s="1"/>
  <c r="H190"/>
  <c r="H191"/>
  <c r="H193"/>
  <c r="H194"/>
  <c r="E194" s="1"/>
  <c r="H196"/>
  <c r="H197"/>
  <c r="H199"/>
  <c r="H200"/>
  <c r="H202"/>
  <c r="H203"/>
  <c r="H206"/>
  <c r="H207"/>
  <c r="H209"/>
  <c r="H208" s="1"/>
  <c r="H212"/>
  <c r="H215"/>
  <c r="H213"/>
  <c r="H211" s="1"/>
  <c r="H95"/>
  <c r="H94" s="1"/>
  <c r="H96" s="1"/>
  <c r="H90"/>
  <c r="H89"/>
  <c r="H85"/>
  <c r="E85" s="1"/>
  <c r="E84" s="1"/>
  <c r="H77"/>
  <c r="H76"/>
  <c r="H53"/>
  <c r="E53" s="1"/>
  <c r="E52" s="1"/>
  <c r="H58"/>
  <c r="H57"/>
  <c r="H73"/>
  <c r="H72" s="1"/>
  <c r="H33"/>
  <c r="H31"/>
  <c r="H32"/>
  <c r="H42"/>
  <c r="H41" s="1"/>
  <c r="H47"/>
  <c r="H46"/>
  <c r="H49"/>
  <c r="H15"/>
  <c r="H14"/>
  <c r="H20"/>
  <c r="H19" s="1"/>
  <c r="H25"/>
  <c r="H24" s="1"/>
  <c r="H305" i="3"/>
  <c r="H306"/>
  <c r="H307"/>
  <c r="J186" i="1"/>
  <c r="F254" i="10" s="1"/>
  <c r="J189" i="1"/>
  <c r="F257" i="10" s="1"/>
  <c r="J184" i="1"/>
  <c r="D184" s="1"/>
  <c r="J177"/>
  <c r="F241" i="2" s="1"/>
  <c r="E241" s="1"/>
  <c r="E240" s="1"/>
  <c r="J178" i="1"/>
  <c r="D178" s="1"/>
  <c r="J179"/>
  <c r="F245" i="10" s="1"/>
  <c r="E245" s="1"/>
  <c r="J180" i="1"/>
  <c r="F246" i="10" s="1"/>
  <c r="G78" i="1"/>
  <c r="F99" i="10" s="1"/>
  <c r="G79" i="1"/>
  <c r="F101" i="10" s="1"/>
  <c r="E101" s="1"/>
  <c r="J80" i="1"/>
  <c r="F102" i="10" s="1"/>
  <c r="G81" i="1"/>
  <c r="F104" i="10"/>
  <c r="J82" i="1"/>
  <c r="F105" i="10" s="1"/>
  <c r="E105" s="1"/>
  <c r="G83" i="1"/>
  <c r="F107" i="10" s="1"/>
  <c r="J84" i="1"/>
  <c r="F108" i="10" s="1"/>
  <c r="E108" s="1"/>
  <c r="G85" i="1"/>
  <c r="F110" i="10" s="1"/>
  <c r="J86" i="1"/>
  <c r="F111" i="10" s="1"/>
  <c r="E111" s="1"/>
  <c r="G87" i="1"/>
  <c r="F114" i="10" s="1"/>
  <c r="J88" i="1"/>
  <c r="F115" i="10"/>
  <c r="G89" i="1"/>
  <c r="F117" i="10" s="1"/>
  <c r="J90" i="1"/>
  <c r="F118" i="10" s="1"/>
  <c r="E118" s="1"/>
  <c r="G91" i="1"/>
  <c r="F120" i="10" s="1"/>
  <c r="J92" i="1"/>
  <c r="F121" i="10" s="1"/>
  <c r="G93" i="1"/>
  <c r="F123" i="10" s="1"/>
  <c r="E123" s="1"/>
  <c r="J94" i="1"/>
  <c r="F124" i="10" s="1"/>
  <c r="E124" s="1"/>
  <c r="G95" i="1"/>
  <c r="F126" i="10"/>
  <c r="E126" s="1"/>
  <c r="J96" i="1"/>
  <c r="F127" i="10" s="1"/>
  <c r="G97" i="1"/>
  <c r="F130" i="10"/>
  <c r="F129" s="1"/>
  <c r="J98" i="1"/>
  <c r="F131" i="10" s="1"/>
  <c r="E131" s="1"/>
  <c r="G99" i="1"/>
  <c r="F133" i="10" s="1"/>
  <c r="J100" i="1"/>
  <c r="F134" i="10" s="1"/>
  <c r="E134" s="1"/>
  <c r="G101" i="1"/>
  <c r="F136" i="10" s="1"/>
  <c r="J102" i="1"/>
  <c r="J104"/>
  <c r="F141" i="10" s="1"/>
  <c r="E141" s="1"/>
  <c r="G105" i="1"/>
  <c r="F143" i="10"/>
  <c r="E143" s="1"/>
  <c r="J106" i="1"/>
  <c r="F144" i="10" s="1"/>
  <c r="E144" s="1"/>
  <c r="G107" i="1"/>
  <c r="F146" i="10" s="1"/>
  <c r="E146" s="1"/>
  <c r="J108" i="1"/>
  <c r="G109"/>
  <c r="F149" i="10"/>
  <c r="F148" s="1"/>
  <c r="E148" s="1"/>
  <c r="J110" i="1"/>
  <c r="F150" i="10" s="1"/>
  <c r="G111" i="1"/>
  <c r="F153" i="10"/>
  <c r="E153" s="1"/>
  <c r="J112" i="1"/>
  <c r="F154" i="10" s="1"/>
  <c r="J114" i="1"/>
  <c r="F157" i="10" s="1"/>
  <c r="E157" s="1"/>
  <c r="G115" i="1"/>
  <c r="J116"/>
  <c r="J118"/>
  <c r="F163" i="10"/>
  <c r="G119" i="1"/>
  <c r="F165" i="10" s="1"/>
  <c r="J120" i="1"/>
  <c r="F166" i="10"/>
  <c r="G121" i="1"/>
  <c r="F168" i="10" s="1"/>
  <c r="E168" s="1"/>
  <c r="J122" i="1"/>
  <c r="F169" i="10" s="1"/>
  <c r="J124" i="1"/>
  <c r="F172" i="10" s="1"/>
  <c r="E172" s="1"/>
  <c r="G125" i="1"/>
  <c r="F174" i="10" s="1"/>
  <c r="E174" s="1"/>
  <c r="J126" i="1"/>
  <c r="F175" i="10" s="1"/>
  <c r="E175" s="1"/>
  <c r="G127" i="1"/>
  <c r="J128"/>
  <c r="F178" i="10" s="1"/>
  <c r="E178" s="1"/>
  <c r="G129" i="1"/>
  <c r="F180" i="10" s="1"/>
  <c r="J130" i="1"/>
  <c r="F181" i="10"/>
  <c r="G131" i="1"/>
  <c r="F183" i="10" s="1"/>
  <c r="E183" s="1"/>
  <c r="J132" i="1"/>
  <c r="J134"/>
  <c r="F187" i="10" s="1"/>
  <c r="J136" i="1"/>
  <c r="F191" i="10" s="1"/>
  <c r="E191" s="1"/>
  <c r="G137" i="1"/>
  <c r="F193" i="10"/>
  <c r="E193" s="1"/>
  <c r="F194"/>
  <c r="G139" i="1"/>
  <c r="F196" i="10"/>
  <c r="F195" s="1"/>
  <c r="F197"/>
  <c r="G141" i="1"/>
  <c r="F199" i="10"/>
  <c r="E199" s="1"/>
  <c r="J142" i="1"/>
  <c r="F200" i="10" s="1"/>
  <c r="G143" i="1"/>
  <c r="F202" i="10"/>
  <c r="E202" s="1"/>
  <c r="J144" i="1"/>
  <c r="F203" i="10" s="1"/>
  <c r="E203" s="1"/>
  <c r="G145" i="1"/>
  <c r="F206" i="10"/>
  <c r="J146" i="1"/>
  <c r="F207" i="10" s="1"/>
  <c r="G147" i="1"/>
  <c r="F209" i="10" s="1"/>
  <c r="G150" i="1"/>
  <c r="F210" i="10"/>
  <c r="G157" i="1"/>
  <c r="F212" i="10" s="1"/>
  <c r="G159" i="1"/>
  <c r="F215" i="10" s="1"/>
  <c r="E215" s="1"/>
  <c r="E213" s="1"/>
  <c r="G160" i="1"/>
  <c r="F216" i="10"/>
  <c r="G161" i="1"/>
  <c r="F217" i="10" s="1"/>
  <c r="G162" i="1"/>
  <c r="F218" i="10" s="1"/>
  <c r="E218" s="1"/>
  <c r="G163" i="1"/>
  <c r="G154"/>
  <c r="F224" i="10" s="1"/>
  <c r="G77" i="1"/>
  <c r="G73"/>
  <c r="F90" i="10"/>
  <c r="E90" s="1"/>
  <c r="E89" s="1"/>
  <c r="G74" i="1"/>
  <c r="F91" i="10" s="1"/>
  <c r="E91" s="1"/>
  <c r="G75" i="1"/>
  <c r="F92" i="10"/>
  <c r="E92" s="1"/>
  <c r="G76" i="1"/>
  <c r="F93" i="10" s="1"/>
  <c r="G71" i="1"/>
  <c r="G72"/>
  <c r="F86" i="10" s="1"/>
  <c r="G64" i="1"/>
  <c r="F77" i="10" s="1"/>
  <c r="E77" s="1"/>
  <c r="E76" s="1"/>
  <c r="G65" i="1"/>
  <c r="G66"/>
  <c r="F79" i="10" s="1"/>
  <c r="E79" s="1"/>
  <c r="G67" i="1"/>
  <c r="F80" i="10"/>
  <c r="E80" s="1"/>
  <c r="G68" i="1"/>
  <c r="F81" i="10" s="1"/>
  <c r="G69" i="1"/>
  <c r="F82" i="10"/>
  <c r="G70" i="1"/>
  <c r="F83" i="10" s="1"/>
  <c r="G43" i="1"/>
  <c r="F53" i="10"/>
  <c r="G44" i="1"/>
  <c r="G45"/>
  <c r="G46"/>
  <c r="F56" i="10"/>
  <c r="G47" i="1"/>
  <c r="F58" i="10" s="1"/>
  <c r="E58" s="1"/>
  <c r="E57" s="1"/>
  <c r="G48" i="1"/>
  <c r="F59" i="10"/>
  <c r="F57" s="1"/>
  <c r="G49" i="1"/>
  <c r="F60" i="10" s="1"/>
  <c r="E60" s="1"/>
  <c r="G50" i="1"/>
  <c r="G51"/>
  <c r="F62" i="10" s="1"/>
  <c r="G52" i="1"/>
  <c r="F63" i="10" s="1"/>
  <c r="G53" i="1"/>
  <c r="F64" i="10" s="1"/>
  <c r="E64" s="1"/>
  <c r="G54" i="1"/>
  <c r="F65" i="10" s="1"/>
  <c r="G55" i="1"/>
  <c r="F66" i="10" s="1"/>
  <c r="G56" i="1"/>
  <c r="F67" i="10" s="1"/>
  <c r="G57" i="1"/>
  <c r="F68" i="10" s="1"/>
  <c r="E68" s="1"/>
  <c r="G58" i="1"/>
  <c r="G59"/>
  <c r="F70" i="10"/>
  <c r="G60" i="1"/>
  <c r="G61"/>
  <c r="G62"/>
  <c r="F74" i="10"/>
  <c r="G63" i="1"/>
  <c r="F75" i="10" s="1"/>
  <c r="E75" s="1"/>
  <c r="G41" i="1"/>
  <c r="F34" i="10" s="1"/>
  <c r="G42" i="1"/>
  <c r="F50" i="10" s="1"/>
  <c r="G18" i="1"/>
  <c r="F21" i="10" s="1"/>
  <c r="H272"/>
  <c r="H271"/>
  <c r="H266"/>
  <c r="H265"/>
  <c r="H264"/>
  <c r="H263"/>
  <c r="H262"/>
  <c r="H257"/>
  <c r="H256"/>
  <c r="H255"/>
  <c r="H254"/>
  <c r="H249"/>
  <c r="H248"/>
  <c r="H247"/>
  <c r="H246"/>
  <c r="H245"/>
  <c r="H244"/>
  <c r="H241"/>
  <c r="H240"/>
  <c r="H239"/>
  <c r="H231"/>
  <c r="H230"/>
  <c r="H229"/>
  <c r="H228"/>
  <c r="H223"/>
  <c r="H222"/>
  <c r="H221"/>
  <c r="H220"/>
  <c r="H219"/>
  <c r="H218"/>
  <c r="H217"/>
  <c r="H216"/>
  <c r="E216" s="1"/>
  <c r="E196"/>
  <c r="E104"/>
  <c r="H93"/>
  <c r="H92"/>
  <c r="H91"/>
  <c r="H86"/>
  <c r="H83"/>
  <c r="H82"/>
  <c r="H81"/>
  <c r="H80"/>
  <c r="H79"/>
  <c r="H78"/>
  <c r="H75"/>
  <c r="H74"/>
  <c r="E74" s="1"/>
  <c r="H71"/>
  <c r="H70"/>
  <c r="E70"/>
  <c r="H69"/>
  <c r="H68"/>
  <c r="H67"/>
  <c r="H66"/>
  <c r="H65"/>
  <c r="H64"/>
  <c r="H63"/>
  <c r="H62"/>
  <c r="H61"/>
  <c r="H60"/>
  <c r="H59"/>
  <c r="E59"/>
  <c r="H56"/>
  <c r="E56"/>
  <c r="H55"/>
  <c r="H54"/>
  <c r="H50"/>
  <c r="H45"/>
  <c r="H44"/>
  <c r="H43"/>
  <c r="H40"/>
  <c r="H39"/>
  <c r="H38"/>
  <c r="H37"/>
  <c r="H36"/>
  <c r="H35"/>
  <c r="H34"/>
  <c r="H28"/>
  <c r="H27"/>
  <c r="H26"/>
  <c r="H23"/>
  <c r="H22"/>
  <c r="H21"/>
  <c r="H18"/>
  <c r="H17"/>
  <c r="A7"/>
  <c r="H123" i="1"/>
  <c r="G123" s="1"/>
  <c r="C123" s="1"/>
  <c r="E1418" i="9"/>
  <c r="H1464"/>
  <c r="H1465" s="1"/>
  <c r="E1458"/>
  <c r="E1388"/>
  <c r="E1389"/>
  <c r="E1353"/>
  <c r="E889"/>
  <c r="E860"/>
  <c r="E859"/>
  <c r="E858"/>
  <c r="E1014"/>
  <c r="E1013"/>
  <c r="E911"/>
  <c r="E923"/>
  <c r="I267" i="1"/>
  <c r="J267"/>
  <c r="G158"/>
  <c r="H135"/>
  <c r="G135" s="1"/>
  <c r="H133"/>
  <c r="G133" s="1"/>
  <c r="H117"/>
  <c r="G117" s="1"/>
  <c r="C117" s="1"/>
  <c r="H113"/>
  <c r="G113" s="1"/>
  <c r="H103"/>
  <c r="G103" s="1"/>
  <c r="E1407" i="9"/>
  <c r="E1401"/>
  <c r="E810"/>
  <c r="E879"/>
  <c r="E1138"/>
  <c r="E963"/>
  <c r="E899"/>
  <c r="E958"/>
  <c r="E922"/>
  <c r="E815"/>
  <c r="E830"/>
  <c r="E42"/>
  <c r="J183" i="1"/>
  <c r="F247" i="2" s="1"/>
  <c r="E247" s="1"/>
  <c r="E1343" i="9"/>
  <c r="E43"/>
  <c r="E88"/>
  <c r="A7" i="2"/>
  <c r="E1450" i="9"/>
  <c r="H913"/>
  <c r="E835"/>
  <c r="E1417"/>
  <c r="E1187"/>
  <c r="E1186"/>
  <c r="F1187" s="1"/>
  <c r="E1066"/>
  <c r="E1060"/>
  <c r="E1064"/>
  <c r="E1063"/>
  <c r="E1000"/>
  <c r="E979"/>
  <c r="E44"/>
  <c r="E97"/>
  <c r="E829"/>
  <c r="E826"/>
  <c r="E895"/>
  <c r="E897"/>
  <c r="E1344"/>
  <c r="H1064"/>
  <c r="E1022"/>
  <c r="E898"/>
  <c r="E948"/>
  <c r="E1204"/>
  <c r="E1065"/>
  <c r="E1045"/>
  <c r="E1052"/>
  <c r="E1062"/>
  <c r="E836"/>
  <c r="E31"/>
  <c r="E1397"/>
  <c r="E1006"/>
  <c r="E1173"/>
  <c r="E1174"/>
  <c r="F1174"/>
  <c r="E964"/>
  <c r="E861"/>
  <c r="E833"/>
  <c r="E37"/>
  <c r="E47"/>
  <c r="E46"/>
  <c r="E1459"/>
  <c r="E1425"/>
  <c r="E19"/>
  <c r="E22"/>
  <c r="E23"/>
  <c r="E25"/>
  <c r="E26"/>
  <c r="E27"/>
  <c r="E28"/>
  <c r="E29"/>
  <c r="E32"/>
  <c r="E35"/>
  <c r="E36"/>
  <c r="E39"/>
  <c r="E1001"/>
  <c r="E965"/>
  <c r="E856"/>
  <c r="E855"/>
  <c r="E824"/>
  <c r="E11"/>
  <c r="E1369"/>
  <c r="E949"/>
  <c r="E1462"/>
  <c r="F208"/>
  <c r="E103"/>
  <c r="E1325"/>
  <c r="E1460"/>
  <c r="E1409"/>
  <c r="E1024"/>
  <c r="E944"/>
  <c r="E1018"/>
  <c r="E848"/>
  <c r="E1348"/>
  <c r="E1442"/>
  <c r="E900"/>
  <c r="E1464"/>
  <c r="E1380"/>
  <c r="E1148"/>
  <c r="E1074"/>
  <c r="E98"/>
  <c r="E10"/>
  <c r="E847"/>
  <c r="E12"/>
  <c r="E14"/>
  <c r="E1387"/>
  <c r="E1457"/>
  <c r="E1416"/>
  <c r="E1414"/>
  <c r="E1251"/>
  <c r="E1250"/>
  <c r="E1249"/>
  <c r="E1214"/>
  <c r="E1215"/>
  <c r="E1127"/>
  <c r="E1023"/>
  <c r="E1017"/>
  <c r="E1008"/>
  <c r="E1007"/>
  <c r="E834"/>
  <c r="E954"/>
  <c r="E939"/>
  <c r="E822"/>
  <c r="G1346"/>
  <c r="E1213"/>
  <c r="E943"/>
  <c r="E851"/>
  <c r="E849"/>
  <c r="E878"/>
  <c r="E95"/>
  <c r="E91"/>
  <c r="E1410"/>
  <c r="E993"/>
  <c r="E809"/>
  <c r="E1406"/>
  <c r="E1002"/>
  <c r="E1003"/>
  <c r="E1004"/>
  <c r="E1005"/>
  <c r="E1009"/>
  <c r="E1011"/>
  <c r="E1012"/>
  <c r="E1015"/>
  <c r="E1019"/>
  <c r="E1020"/>
  <c r="E1021"/>
  <c r="E1025"/>
  <c r="E1026"/>
  <c r="E1027"/>
  <c r="E1029"/>
  <c r="E1031"/>
  <c r="E1032"/>
  <c r="E1033"/>
  <c r="E1034"/>
  <c r="E1035"/>
  <c r="E1036"/>
  <c r="E1037"/>
  <c r="E1038"/>
  <c r="E1039"/>
  <c r="E978"/>
  <c r="E992"/>
  <c r="E957"/>
  <c r="E947"/>
  <c r="E1419"/>
  <c r="E1392"/>
  <c r="E1405"/>
  <c r="E982"/>
  <c r="E984"/>
  <c r="E974"/>
  <c r="E857"/>
  <c r="E894"/>
  <c r="E896"/>
  <c r="E863"/>
  <c r="E854"/>
  <c r="E862"/>
  <c r="E853"/>
  <c r="E817"/>
  <c r="E807"/>
  <c r="E1382"/>
  <c r="E1441"/>
  <c r="E956"/>
  <c r="F956" s="1"/>
  <c r="E846"/>
  <c r="E841"/>
  <c r="E808"/>
  <c r="J81" i="1"/>
  <c r="J83"/>
  <c r="J89"/>
  <c r="J99"/>
  <c r="J101"/>
  <c r="J115"/>
  <c r="J129"/>
  <c r="J173"/>
  <c r="F238" i="10" s="1"/>
  <c r="E238" s="1"/>
  <c r="E237" s="1"/>
  <c r="J174" i="1"/>
  <c r="F239" i="10"/>
  <c r="J185" i="1"/>
  <c r="F253" i="10" s="1"/>
  <c r="J187" i="1"/>
  <c r="F255" i="10" s="1"/>
  <c r="E255" s="1"/>
  <c r="J188" i="1"/>
  <c r="F256" i="10"/>
  <c r="E256" s="1"/>
  <c r="J190" i="1"/>
  <c r="F261" i="10"/>
  <c r="E261" s="1"/>
  <c r="E267" s="1"/>
  <c r="J191" i="1"/>
  <c r="J192"/>
  <c r="F263" i="10" s="1"/>
  <c r="J193" i="1"/>
  <c r="J194"/>
  <c r="F265" i="10" s="1"/>
  <c r="J195" i="1"/>
  <c r="J196"/>
  <c r="F270" i="10" s="1"/>
  <c r="E270" s="1"/>
  <c r="E273" s="1"/>
  <c r="J197" i="1"/>
  <c r="F271" i="10"/>
  <c r="J198" i="1"/>
  <c r="F272" i="10"/>
  <c r="E272" s="1"/>
  <c r="J199" i="1"/>
  <c r="D199" s="1"/>
  <c r="J200"/>
  <c r="H74" i="3" s="1"/>
  <c r="J201" i="1"/>
  <c r="J202"/>
  <c r="J203"/>
  <c r="D203" s="1"/>
  <c r="J204"/>
  <c r="H12" i="3" s="1"/>
  <c r="J205" i="1"/>
  <c r="H13" i="3"/>
  <c r="J206" i="1"/>
  <c r="H14" i="3" s="1"/>
  <c r="J207" i="1"/>
  <c r="J208"/>
  <c r="H16" i="3"/>
  <c r="J209" i="1"/>
  <c r="H17" i="3"/>
  <c r="J210" i="1"/>
  <c r="H18" i="3"/>
  <c r="J211" i="1"/>
  <c r="J212"/>
  <c r="H20" i="3" s="1"/>
  <c r="J213" i="1"/>
  <c r="H21" i="3"/>
  <c r="J214" i="1"/>
  <c r="H22" i="3" s="1"/>
  <c r="J215" i="1"/>
  <c r="J216"/>
  <c r="H24" i="3"/>
  <c r="J217" i="1"/>
  <c r="H25" i="3" s="1"/>
  <c r="J218" i="1"/>
  <c r="H26" i="3" s="1"/>
  <c r="J219" i="1"/>
  <c r="J220"/>
  <c r="H30" i="3" s="1"/>
  <c r="J221" i="1"/>
  <c r="H31" i="3" s="1"/>
  <c r="J222" i="1"/>
  <c r="H32" i="3" s="1"/>
  <c r="J223" i="1"/>
  <c r="H33" i="3"/>
  <c r="J224" i="1"/>
  <c r="H34" i="3"/>
  <c r="G34" s="1"/>
  <c r="J225" i="1"/>
  <c r="H35" i="3"/>
  <c r="J226" i="1"/>
  <c r="H36" i="3"/>
  <c r="G36" s="1"/>
  <c r="J227" i="1"/>
  <c r="J228"/>
  <c r="H39" i="3" s="1"/>
  <c r="J229" i="1"/>
  <c r="H40" i="3" s="1"/>
  <c r="J230" i="1"/>
  <c r="H41" i="3" s="1"/>
  <c r="J231" i="1"/>
  <c r="J232"/>
  <c r="H43" i="3" s="1"/>
  <c r="J233" i="1"/>
  <c r="H44" i="3" s="1"/>
  <c r="J234" i="1"/>
  <c r="H45" i="3" s="1"/>
  <c r="J235" i="1"/>
  <c r="J236"/>
  <c r="H47" i="3" s="1"/>
  <c r="J237" i="1"/>
  <c r="H48" i="3"/>
  <c r="J238" i="1"/>
  <c r="H49" i="3" s="1"/>
  <c r="G49" s="1"/>
  <c r="J239" i="1"/>
  <c r="J240"/>
  <c r="H51" i="3" s="1"/>
  <c r="J241" i="1"/>
  <c r="H52" i="3" s="1"/>
  <c r="J242" i="1"/>
  <c r="H53" i="3"/>
  <c r="J244" i="1"/>
  <c r="H54" i="3" s="1"/>
  <c r="J245" i="1"/>
  <c r="H56" i="3" s="1"/>
  <c r="J246" i="1"/>
  <c r="H57" i="3" s="1"/>
  <c r="G57" s="1"/>
  <c r="J247" i="1"/>
  <c r="H58" i="3"/>
  <c r="J248" i="1"/>
  <c r="H59" i="3" s="1"/>
  <c r="J249" i="1"/>
  <c r="H60" i="3"/>
  <c r="J250" i="1"/>
  <c r="H61" i="3" s="1"/>
  <c r="J251" i="1"/>
  <c r="H62" i="3" s="1"/>
  <c r="J252" i="1"/>
  <c r="J253"/>
  <c r="H64" i="3" s="1"/>
  <c r="J254" i="1"/>
  <c r="H65" i="3"/>
  <c r="J255" i="1"/>
  <c r="H66" i="3"/>
  <c r="J256" i="1"/>
  <c r="J257"/>
  <c r="H73" i="3"/>
  <c r="J258" i="1"/>
  <c r="H69" i="3" s="1"/>
  <c r="J259" i="1"/>
  <c r="H71" i="3"/>
  <c r="G71" s="1"/>
  <c r="J260" i="1"/>
  <c r="J261"/>
  <c r="H70" i="3" s="1"/>
  <c r="J262" i="1"/>
  <c r="J263"/>
  <c r="J264"/>
  <c r="H77" i="3" s="1"/>
  <c r="J265" i="1"/>
  <c r="H78" i="3"/>
  <c r="J266" i="1"/>
  <c r="H79" i="3" s="1"/>
  <c r="H76" s="1"/>
  <c r="J268" i="1"/>
  <c r="H81" i="3"/>
  <c r="J269" i="1"/>
  <c r="J270"/>
  <c r="H83" i="3" s="1"/>
  <c r="G83" s="1"/>
  <c r="J271" i="1"/>
  <c r="H84" i="3"/>
  <c r="J272" i="1"/>
  <c r="H85" i="3" s="1"/>
  <c r="J273" i="1"/>
  <c r="J274"/>
  <c r="H87" i="3"/>
  <c r="J275" i="1"/>
  <c r="H88" i="3" s="1"/>
  <c r="J276" i="1"/>
  <c r="H89" i="3"/>
  <c r="J277" i="1"/>
  <c r="J278"/>
  <c r="H319" i="3" s="1"/>
  <c r="J279" i="1"/>
  <c r="H320" i="3"/>
  <c r="J176" i="1"/>
  <c r="F241" i="10" s="1"/>
  <c r="E241" s="1"/>
  <c r="G19" i="1"/>
  <c r="F22" i="10" s="1"/>
  <c r="G20" i="1"/>
  <c r="F23" i="10" s="1"/>
  <c r="E23" s="1"/>
  <c r="G21" i="1"/>
  <c r="F25" i="10" s="1"/>
  <c r="E25" s="1"/>
  <c r="E24" s="1"/>
  <c r="G22" i="1"/>
  <c r="G23"/>
  <c r="F27" i="10" s="1"/>
  <c r="E27" s="1"/>
  <c r="G24" i="1"/>
  <c r="F28" i="10" s="1"/>
  <c r="G25" i="1"/>
  <c r="F31" i="10" s="1"/>
  <c r="G26" i="1"/>
  <c r="G27"/>
  <c r="F33" i="10" s="1"/>
  <c r="E33" s="1"/>
  <c r="G28" i="1"/>
  <c r="G29"/>
  <c r="F35" i="10" s="1"/>
  <c r="E35" s="1"/>
  <c r="G30" i="1"/>
  <c r="F36" i="10"/>
  <c r="E36" s="1"/>
  <c r="G31" i="1"/>
  <c r="F37" i="10" s="1"/>
  <c r="G32" i="1"/>
  <c r="F38" i="10"/>
  <c r="E38" s="1"/>
  <c r="G33" i="1"/>
  <c r="F39" i="10" s="1"/>
  <c r="E39" s="1"/>
  <c r="G34" i="1"/>
  <c r="F40" i="10"/>
  <c r="E40" s="1"/>
  <c r="G35" i="1"/>
  <c r="F42" i="10" s="1"/>
  <c r="G36" i="1"/>
  <c r="F43" i="10"/>
  <c r="E43" s="1"/>
  <c r="G37" i="1"/>
  <c r="F44" i="10" s="1"/>
  <c r="E44" s="1"/>
  <c r="G39" i="1"/>
  <c r="G40"/>
  <c r="F49" i="10" s="1"/>
  <c r="G82" i="1"/>
  <c r="G84"/>
  <c r="G90"/>
  <c r="G94"/>
  <c r="G100"/>
  <c r="G102"/>
  <c r="G116"/>
  <c r="G122"/>
  <c r="G130"/>
  <c r="G138"/>
  <c r="G140"/>
  <c r="G148"/>
  <c r="G149"/>
  <c r="G151"/>
  <c r="G152"/>
  <c r="C152" s="1"/>
  <c r="G153"/>
  <c r="G155"/>
  <c r="G156"/>
  <c r="G164"/>
  <c r="G165"/>
  <c r="F221" i="10" s="1"/>
  <c r="E221" s="1"/>
  <c r="G166" i="1"/>
  <c r="F222" i="10" s="1"/>
  <c r="E222" s="1"/>
  <c r="G167" i="1"/>
  <c r="F223" i="10" s="1"/>
  <c r="E223" s="1"/>
  <c r="G168" i="1"/>
  <c r="C168" s="1"/>
  <c r="G169"/>
  <c r="F228" i="10"/>
  <c r="E228" s="1"/>
  <c r="G170" i="1"/>
  <c r="F227" i="2" s="1"/>
  <c r="G171" i="1"/>
  <c r="F230" i="10"/>
  <c r="E230" s="1"/>
  <c r="G172" i="1"/>
  <c r="G280"/>
  <c r="C16" i="4"/>
  <c r="G281" i="1"/>
  <c r="H94" i="3" s="1"/>
  <c r="G282" i="1"/>
  <c r="H95" i="3" s="1"/>
  <c r="G283" i="1"/>
  <c r="G284"/>
  <c r="H97" i="3" s="1"/>
  <c r="G285" i="1"/>
  <c r="H98" i="3" s="1"/>
  <c r="G286" i="1"/>
  <c r="H99" i="3" s="1"/>
  <c r="G287" i="1"/>
  <c r="H100" i="3" s="1"/>
  <c r="G288" i="1"/>
  <c r="H102" i="3" s="1"/>
  <c r="G289" i="1"/>
  <c r="H103" i="3" s="1"/>
  <c r="G290" i="1"/>
  <c r="H104" i="3"/>
  <c r="G291" i="1"/>
  <c r="H105" i="3" s="1"/>
  <c r="G292" i="1"/>
  <c r="H106" i="3"/>
  <c r="G293" i="1"/>
  <c r="H107" i="3" s="1"/>
  <c r="G294" i="1"/>
  <c r="H108" i="3" s="1"/>
  <c r="G295" i="1"/>
  <c r="G296"/>
  <c r="H110" i="3" s="1"/>
  <c r="G110" s="1"/>
  <c r="G297" i="1"/>
  <c r="H111" i="3"/>
  <c r="G298" i="1"/>
  <c r="H112" i="3" s="1"/>
  <c r="G299" i="1"/>
  <c r="C299"/>
  <c r="G300"/>
  <c r="H114" i="3" s="1"/>
  <c r="G301" i="1"/>
  <c r="H115" i="3"/>
  <c r="G302" i="1"/>
  <c r="H116" i="3" s="1"/>
  <c r="G303" i="1"/>
  <c r="G304"/>
  <c r="H119" i="3" s="1"/>
  <c r="G305" i="1"/>
  <c r="H120" i="3" s="1"/>
  <c r="G306" i="1"/>
  <c r="H121" i="3" s="1"/>
  <c r="G307" i="1"/>
  <c r="G308"/>
  <c r="H124" i="3" s="1"/>
  <c r="G309" i="1"/>
  <c r="H125" i="3" s="1"/>
  <c r="G125" s="1"/>
  <c r="G310" i="1"/>
  <c r="H126" i="3"/>
  <c r="G311" i="1"/>
  <c r="G312"/>
  <c r="H128" i="3"/>
  <c r="G313" i="1"/>
  <c r="H129" i="3" s="1"/>
  <c r="G314" i="1"/>
  <c r="H132" i="3" s="1"/>
  <c r="G315" i="1"/>
  <c r="G316"/>
  <c r="H135" i="3" s="1"/>
  <c r="G317" i="1"/>
  <c r="H136" i="3" s="1"/>
  <c r="G318" i="1"/>
  <c r="H138" i="3"/>
  <c r="G319" i="1"/>
  <c r="H139" i="3" s="1"/>
  <c r="G320" i="1"/>
  <c r="H140" i="3" s="1"/>
  <c r="G321" i="1"/>
  <c r="H141" i="3" s="1"/>
  <c r="G322" i="1"/>
  <c r="H142" i="3" s="1"/>
  <c r="G323" i="1"/>
  <c r="H143" i="3" s="1"/>
  <c r="G324" i="1"/>
  <c r="H144" i="3" s="1"/>
  <c r="G325" i="1"/>
  <c r="H145" i="3" s="1"/>
  <c r="G326" i="1"/>
  <c r="H146" i="3" s="1"/>
  <c r="G327" i="1"/>
  <c r="G328"/>
  <c r="H148" i="3" s="1"/>
  <c r="G329" i="1"/>
  <c r="H150" i="3" s="1"/>
  <c r="G150" s="1"/>
  <c r="G149" s="1"/>
  <c r="G330" i="1"/>
  <c r="H151" i="3" s="1"/>
  <c r="G331" i="1"/>
  <c r="G332"/>
  <c r="H154" i="3" s="1"/>
  <c r="G333" i="1"/>
  <c r="H155" i="3" s="1"/>
  <c r="H153" s="1"/>
  <c r="G334" i="1"/>
  <c r="H156" i="3" s="1"/>
  <c r="G156" s="1"/>
  <c r="G335" i="1"/>
  <c r="H157" i="3"/>
  <c r="G336" i="1"/>
  <c r="H158" i="3" s="1"/>
  <c r="G337" i="1"/>
  <c r="H159" i="3"/>
  <c r="G338" i="1"/>
  <c r="H160" i="3" s="1"/>
  <c r="G339" i="1"/>
  <c r="G340"/>
  <c r="H162" i="3"/>
  <c r="G341" i="1"/>
  <c r="H163" i="3" s="1"/>
  <c r="G342" i="1"/>
  <c r="H164" i="3"/>
  <c r="G164" s="1"/>
  <c r="G343" i="1"/>
  <c r="G344"/>
  <c r="H166" i="3" s="1"/>
  <c r="G345" i="1"/>
  <c r="H167" i="3"/>
  <c r="G346" i="1"/>
  <c r="H168" i="3" s="1"/>
  <c r="G347" i="1"/>
  <c r="G348"/>
  <c r="H171" i="3"/>
  <c r="G349" i="1"/>
  <c r="H172" i="3" s="1"/>
  <c r="G350" i="1"/>
  <c r="H173" i="3"/>
  <c r="G173" s="1"/>
  <c r="G351" i="1"/>
  <c r="G352"/>
  <c r="H175" i="3" s="1"/>
  <c r="G353" i="1"/>
  <c r="H176" i="3"/>
  <c r="G354" i="1"/>
  <c r="H177" i="3" s="1"/>
  <c r="G177" s="1"/>
  <c r="G355" i="1"/>
  <c r="G356"/>
  <c r="H181" i="3" s="1"/>
  <c r="G357" i="1"/>
  <c r="H182" i="3" s="1"/>
  <c r="H180" s="1"/>
  <c r="G358" i="1"/>
  <c r="H183" i="3" s="1"/>
  <c r="G359" i="1"/>
  <c r="H184" i="3" s="1"/>
  <c r="G360" i="1"/>
  <c r="H186" i="3" s="1"/>
  <c r="G361" i="1"/>
  <c r="H187" i="3" s="1"/>
  <c r="H185" s="1"/>
  <c r="G362" i="1"/>
  <c r="H188" i="3" s="1"/>
  <c r="G188" s="1"/>
  <c r="G363" i="1"/>
  <c r="G364"/>
  <c r="H190" i="3" s="1"/>
  <c r="G365" i="1"/>
  <c r="H192" i="3"/>
  <c r="G192" s="1"/>
  <c r="G191" s="1"/>
  <c r="G366" i="1"/>
  <c r="H193" i="3" s="1"/>
  <c r="G367" i="1"/>
  <c r="G368"/>
  <c r="H196" i="3" s="1"/>
  <c r="H195" s="1"/>
  <c r="G369" i="1"/>
  <c r="H197" i="3" s="1"/>
  <c r="G197" s="1"/>
  <c r="G370" i="1"/>
  <c r="H198" i="3" s="1"/>
  <c r="G371" i="1"/>
  <c r="G372"/>
  <c r="H201" i="3" s="1"/>
  <c r="G201" s="1"/>
  <c r="G373" i="1"/>
  <c r="H202" i="3"/>
  <c r="G374" i="1"/>
  <c r="H203" i="3"/>
  <c r="G203" s="1"/>
  <c r="G375" i="1"/>
  <c r="H204" i="3"/>
  <c r="G376" i="1"/>
  <c r="H205" i="3"/>
  <c r="G377" i="1"/>
  <c r="H206" i="3"/>
  <c r="G378" i="1"/>
  <c r="H207" i="3"/>
  <c r="G207" s="1"/>
  <c r="G379" i="1"/>
  <c r="G380"/>
  <c r="H209" i="3" s="1"/>
  <c r="G381" i="1"/>
  <c r="H210" i="3" s="1"/>
  <c r="G382" i="1"/>
  <c r="H211" i="3"/>
  <c r="G383" i="1"/>
  <c r="G384"/>
  <c r="H214" i="3" s="1"/>
  <c r="G385" i="1"/>
  <c r="H215" i="3"/>
  <c r="G386" i="1"/>
  <c r="H216" i="3" s="1"/>
  <c r="G387" i="1"/>
  <c r="G388"/>
  <c r="H219" i="3" s="1"/>
  <c r="G389" i="1"/>
  <c r="H221" i="3"/>
  <c r="G390" i="1"/>
  <c r="H222" i="3" s="1"/>
  <c r="G391" i="1"/>
  <c r="H223" i="3" s="1"/>
  <c r="G392" i="1"/>
  <c r="H224" i="3"/>
  <c r="G393" i="1"/>
  <c r="H225" i="3" s="1"/>
  <c r="G394" i="1"/>
  <c r="H226" i="3"/>
  <c r="G395" i="1"/>
  <c r="G396"/>
  <c r="H228" i="3" s="1"/>
  <c r="G397" i="1"/>
  <c r="H230" i="3"/>
  <c r="G398" i="1"/>
  <c r="H231" i="3" s="1"/>
  <c r="G399" i="1"/>
  <c r="H309" i="3"/>
  <c r="G309" s="1"/>
  <c r="G315" s="1"/>
  <c r="G400" i="1"/>
  <c r="H310" i="3" s="1"/>
  <c r="G310" s="1"/>
  <c r="G401" i="1"/>
  <c r="H311" i="3"/>
  <c r="G402" i="1"/>
  <c r="H312" i="3" s="1"/>
  <c r="G312" s="1"/>
  <c r="G403" i="1"/>
  <c r="G404"/>
  <c r="H314" i="3"/>
  <c r="G405" i="1"/>
  <c r="H233" i="3" s="1"/>
  <c r="G406" i="1"/>
  <c r="H234" i="3"/>
  <c r="G407" i="1"/>
  <c r="G408"/>
  <c r="H236" i="3" s="1"/>
  <c r="G409" i="1"/>
  <c r="H238" i="3"/>
  <c r="G410" i="1"/>
  <c r="H239" i="3" s="1"/>
  <c r="G411" i="1"/>
  <c r="G412"/>
  <c r="H242" i="3" s="1"/>
  <c r="G413" i="1"/>
  <c r="H245" i="3" s="1"/>
  <c r="G414" i="1"/>
  <c r="H246" i="3"/>
  <c r="G246" s="1"/>
  <c r="G415" i="1"/>
  <c r="H247" i="3" s="1"/>
  <c r="G247" s="1"/>
  <c r="G416" i="1"/>
  <c r="H248" i="3"/>
  <c r="G417" i="1"/>
  <c r="H250" i="3" s="1"/>
  <c r="G418" i="1"/>
  <c r="H251" i="3"/>
  <c r="G419" i="1"/>
  <c r="G420"/>
  <c r="H253" i="3" s="1"/>
  <c r="G421" i="1"/>
  <c r="H254" i="3"/>
  <c r="G422" i="1"/>
  <c r="H256" i="3" s="1"/>
  <c r="G423" i="1"/>
  <c r="H257" i="3"/>
  <c r="H255" s="1"/>
  <c r="G424" i="1"/>
  <c r="H258" i="3" s="1"/>
  <c r="G425" i="1"/>
  <c r="H260" i="3"/>
  <c r="H259" s="1"/>
  <c r="G426" i="1"/>
  <c r="H261" i="3" s="1"/>
  <c r="G427" i="1"/>
  <c r="G428"/>
  <c r="H263" i="3" s="1"/>
  <c r="G429" i="1"/>
  <c r="H265" i="3"/>
  <c r="G430" i="1"/>
  <c r="H266" i="3" s="1"/>
  <c r="G431" i="1"/>
  <c r="H267" i="3"/>
  <c r="G267" s="1"/>
  <c r="G432" i="1"/>
  <c r="H268" i="3" s="1"/>
  <c r="G268" s="1"/>
  <c r="G433" i="1"/>
  <c r="H269" i="3"/>
  <c r="G434" i="1"/>
  <c r="H270" i="3" s="1"/>
  <c r="G435" i="1"/>
  <c r="G436"/>
  <c r="H272" i="3"/>
  <c r="G437" i="1"/>
  <c r="H273" i="3"/>
  <c r="G273" s="1"/>
  <c r="G438" i="1"/>
  <c r="H274" i="3" s="1"/>
  <c r="G439" i="1"/>
  <c r="H275" i="3" s="1"/>
  <c r="G440" i="1"/>
  <c r="H276" i="3"/>
  <c r="G441" i="1"/>
  <c r="H278" i="3" s="1"/>
  <c r="G442" i="1"/>
  <c r="H279" i="3" s="1"/>
  <c r="G443" i="1"/>
  <c r="G444"/>
  <c r="H281" i="3" s="1"/>
  <c r="G281" s="1"/>
  <c r="G445" i="1"/>
  <c r="H282" i="3"/>
  <c r="G446" i="1"/>
  <c r="H284" i="3" s="1"/>
  <c r="H283" s="1"/>
  <c r="G447" i="1"/>
  <c r="H285" i="3"/>
  <c r="G448" i="1"/>
  <c r="G449"/>
  <c r="H287" i="3"/>
  <c r="G450" i="1"/>
  <c r="H288" i="3"/>
  <c r="G451" i="1"/>
  <c r="C451"/>
  <c r="G452"/>
  <c r="H290" i="3"/>
  <c r="G453" i="1"/>
  <c r="H291" i="3"/>
  <c r="G454" i="1"/>
  <c r="H294" i="3"/>
  <c r="G455" i="1"/>
  <c r="G456"/>
  <c r="H297" i="3" s="1"/>
  <c r="G457" i="1"/>
  <c r="H298" i="3"/>
  <c r="G458" i="1"/>
  <c r="H299" i="3"/>
  <c r="G459" i="1"/>
  <c r="G460"/>
  <c r="H301" i="3" s="1"/>
  <c r="G461" i="1"/>
  <c r="H302" i="3"/>
  <c r="E56" i="9"/>
  <c r="E57" s="1"/>
  <c r="F57" s="1"/>
  <c r="E977"/>
  <c r="E988"/>
  <c r="E816"/>
  <c r="E819"/>
  <c r="E820"/>
  <c r="E825"/>
  <c r="E827"/>
  <c r="E828"/>
  <c r="E837"/>
  <c r="E840"/>
  <c r="E842"/>
  <c r="E843"/>
  <c r="E845"/>
  <c r="E850"/>
  <c r="E852"/>
  <c r="E864"/>
  <c r="E865"/>
  <c r="E866"/>
  <c r="E867"/>
  <c r="E870"/>
  <c r="E872"/>
  <c r="E874"/>
  <c r="E875"/>
  <c r="E876"/>
  <c r="E880"/>
  <c r="E881"/>
  <c r="E882"/>
  <c r="E883"/>
  <c r="E885"/>
  <c r="E886"/>
  <c r="E887"/>
  <c r="E888"/>
  <c r="E893"/>
  <c r="E901"/>
  <c r="E902"/>
  <c r="E903"/>
  <c r="E907"/>
  <c r="E908"/>
  <c r="E909"/>
  <c r="E915"/>
  <c r="E917"/>
  <c r="E918"/>
  <c r="E919"/>
  <c r="E927"/>
  <c r="E929"/>
  <c r="E931"/>
  <c r="E932"/>
  <c r="E933"/>
  <c r="E934"/>
  <c r="E935"/>
  <c r="E938"/>
  <c r="E940"/>
  <c r="E941"/>
  <c r="E942"/>
  <c r="E946"/>
  <c r="E951"/>
  <c r="E952"/>
  <c r="E953"/>
  <c r="E955"/>
  <c r="E959"/>
  <c r="E92"/>
  <c r="G976"/>
  <c r="F1398"/>
  <c r="G1398"/>
  <c r="H1398" s="1"/>
  <c r="E1324"/>
  <c r="E1326"/>
  <c r="E1331"/>
  <c r="E1332"/>
  <c r="E1333"/>
  <c r="E1334"/>
  <c r="E1337"/>
  <c r="E1341"/>
  <c r="E1349"/>
  <c r="E1350"/>
  <c r="E1361"/>
  <c r="E1362"/>
  <c r="E1365"/>
  <c r="E1366"/>
  <c r="E1368"/>
  <c r="E1370"/>
  <c r="E1372"/>
  <c r="E1374"/>
  <c r="E1375"/>
  <c r="E1376"/>
  <c r="E1379"/>
  <c r="E1383"/>
  <c r="E1384"/>
  <c r="E1385"/>
  <c r="E1386"/>
  <c r="E1393"/>
  <c r="E1402"/>
  <c r="E1404"/>
  <c r="E1411"/>
  <c r="E1413"/>
  <c r="E1420"/>
  <c r="E1422"/>
  <c r="E1423"/>
  <c r="E1424"/>
  <c r="H1432"/>
  <c r="E1430"/>
  <c r="E1431"/>
  <c r="E1434"/>
  <c r="E1437"/>
  <c r="N1437" s="1"/>
  <c r="E1438"/>
  <c r="E1439"/>
  <c r="E1440"/>
  <c r="E1446"/>
  <c r="E1447"/>
  <c r="E1449"/>
  <c r="E1451"/>
  <c r="E1452"/>
  <c r="E1453"/>
  <c r="E1455"/>
  <c r="E1456"/>
  <c r="E1468"/>
  <c r="E981"/>
  <c r="G963"/>
  <c r="G962"/>
  <c r="E805"/>
  <c r="E985"/>
  <c r="E1073"/>
  <c r="E1088"/>
  <c r="E1094"/>
  <c r="E1098"/>
  <c r="E1103"/>
  <c r="E1114"/>
  <c r="E1133"/>
  <c r="E1140"/>
  <c r="E1141"/>
  <c r="E1146"/>
  <c r="E1149"/>
  <c r="E1163"/>
  <c r="E1167"/>
  <c r="E1168"/>
  <c r="E1169"/>
  <c r="E1171"/>
  <c r="E1172"/>
  <c r="E1180"/>
  <c r="E1198"/>
  <c r="E1205"/>
  <c r="E1206"/>
  <c r="E1207"/>
  <c r="E1209"/>
  <c r="E1227"/>
  <c r="E1238"/>
  <c r="E1252"/>
  <c r="E1253"/>
  <c r="E1254"/>
  <c r="E1261"/>
  <c r="E1273"/>
  <c r="E1276"/>
  <c r="E1284"/>
  <c r="E1292"/>
  <c r="E1293"/>
  <c r="E1295"/>
  <c r="E1299"/>
  <c r="E1301"/>
  <c r="E1303"/>
  <c r="E1319"/>
  <c r="E973"/>
  <c r="E975"/>
  <c r="E980"/>
  <c r="E996" s="1"/>
  <c r="E983"/>
  <c r="E989"/>
  <c r="E990"/>
  <c r="E567"/>
  <c r="E697"/>
  <c r="E698"/>
  <c r="E99"/>
  <c r="E104" s="1"/>
  <c r="E75"/>
  <c r="F75"/>
  <c r="I1473"/>
  <c r="I1481" s="1"/>
  <c r="I1480"/>
  <c r="G1473"/>
  <c r="AC1392"/>
  <c r="AC1395" s="1"/>
  <c r="AC1420" s="1"/>
  <c r="AC1425" s="1"/>
  <c r="AC1427" s="1"/>
  <c r="Y1418"/>
  <c r="Y1427" s="1"/>
  <c r="H1425"/>
  <c r="H1421"/>
  <c r="L1410"/>
  <c r="L1411" s="1"/>
  <c r="L1417" s="1"/>
  <c r="L1420" s="1"/>
  <c r="G1417"/>
  <c r="H1401"/>
  <c r="N1379"/>
  <c r="G1361"/>
  <c r="R1342"/>
  <c r="H1325"/>
  <c r="H1297"/>
  <c r="H1022"/>
  <c r="H1238" s="1"/>
  <c r="H1241" s="1"/>
  <c r="G1033"/>
  <c r="J1026"/>
  <c r="J1027" s="1"/>
  <c r="G1024"/>
  <c r="H938"/>
  <c r="H952" s="1"/>
  <c r="G931"/>
  <c r="G867"/>
  <c r="G872"/>
  <c r="U837"/>
  <c r="U839" s="1"/>
  <c r="G828"/>
  <c r="AD816"/>
  <c r="AE821" s="1"/>
  <c r="AE824" s="1"/>
  <c r="AD818"/>
  <c r="G351"/>
  <c r="G160"/>
  <c r="F148"/>
  <c r="H143"/>
  <c r="G189"/>
  <c r="G113"/>
  <c r="G112"/>
  <c r="I34"/>
  <c r="I35"/>
  <c r="G12" i="1"/>
  <c r="G13"/>
  <c r="F16" i="10" s="1"/>
  <c r="G14" i="1"/>
  <c r="F15" i="2" s="1"/>
  <c r="G15" i="1"/>
  <c r="G17"/>
  <c r="G182"/>
  <c r="F246" i="2" s="1"/>
  <c r="F222"/>
  <c r="F65"/>
  <c r="F66"/>
  <c r="F51"/>
  <c r="F64"/>
  <c r="F112"/>
  <c r="F111" s="1"/>
  <c r="F60"/>
  <c r="F167"/>
  <c r="F253"/>
  <c r="E253" s="1"/>
  <c r="F259"/>
  <c r="F261"/>
  <c r="F20"/>
  <c r="F40"/>
  <c r="E40" s="1"/>
  <c r="E39" s="1"/>
  <c r="F63"/>
  <c r="E63" s="1"/>
  <c r="F75"/>
  <c r="F102"/>
  <c r="F105"/>
  <c r="E105" s="1"/>
  <c r="F108"/>
  <c r="F121"/>
  <c r="F208"/>
  <c r="F152"/>
  <c r="E152" s="1"/>
  <c r="F161"/>
  <c r="E161" s="1"/>
  <c r="F155"/>
  <c r="F172"/>
  <c r="F164"/>
  <c r="E164" s="1"/>
  <c r="F163"/>
  <c r="F157"/>
  <c r="F166"/>
  <c r="F178"/>
  <c r="F177" s="1"/>
  <c r="F214"/>
  <c r="F215"/>
  <c r="F216"/>
  <c r="F219"/>
  <c r="F221"/>
  <c r="F125"/>
  <c r="F122"/>
  <c r="F142"/>
  <c r="F141"/>
  <c r="F148"/>
  <c r="F97"/>
  <c r="F103"/>
  <c r="F106"/>
  <c r="F197"/>
  <c r="F191"/>
  <c r="F192"/>
  <c r="F190" s="1"/>
  <c r="F194"/>
  <c r="F193" s="1"/>
  <c r="F195"/>
  <c r="F204"/>
  <c r="F128"/>
  <c r="F129"/>
  <c r="F132"/>
  <c r="F91"/>
  <c r="F90"/>
  <c r="E90" s="1"/>
  <c r="F89"/>
  <c r="F88"/>
  <c r="F84"/>
  <c r="F81"/>
  <c r="F80"/>
  <c r="F78"/>
  <c r="F77"/>
  <c r="F73"/>
  <c r="F72"/>
  <c r="F54"/>
  <c r="F53"/>
  <c r="F226"/>
  <c r="F31"/>
  <c r="F33"/>
  <c r="F37"/>
  <c r="F29"/>
  <c r="F21"/>
  <c r="F23"/>
  <c r="F25"/>
  <c r="F26"/>
  <c r="F268"/>
  <c r="F263"/>
  <c r="F254"/>
  <c r="F239"/>
  <c r="F236"/>
  <c r="E236" s="1"/>
  <c r="E235" s="1"/>
  <c r="G13"/>
  <c r="H13"/>
  <c r="H12" s="1"/>
  <c r="G15"/>
  <c r="H15"/>
  <c r="G16"/>
  <c r="H16"/>
  <c r="G18"/>
  <c r="H18"/>
  <c r="H17" s="1"/>
  <c r="G19"/>
  <c r="H19"/>
  <c r="G20"/>
  <c r="H20"/>
  <c r="G21"/>
  <c r="H21"/>
  <c r="G23"/>
  <c r="H23"/>
  <c r="G24"/>
  <c r="H24"/>
  <c r="G25"/>
  <c r="H25"/>
  <c r="G26"/>
  <c r="H26"/>
  <c r="G31"/>
  <c r="H31"/>
  <c r="G32"/>
  <c r="H32"/>
  <c r="G33"/>
  <c r="H33"/>
  <c r="G34"/>
  <c r="H34"/>
  <c r="G35"/>
  <c r="H35"/>
  <c r="G36"/>
  <c r="H36"/>
  <c r="G37"/>
  <c r="H37"/>
  <c r="G38"/>
  <c r="H38"/>
  <c r="G29"/>
  <c r="H29"/>
  <c r="G30"/>
  <c r="G28" s="1"/>
  <c r="H30"/>
  <c r="G40"/>
  <c r="H40"/>
  <c r="H39"/>
  <c r="G41"/>
  <c r="H41"/>
  <c r="G42"/>
  <c r="H42"/>
  <c r="G43"/>
  <c r="H43"/>
  <c r="G45"/>
  <c r="G44"/>
  <c r="H45"/>
  <c r="H44"/>
  <c r="G47"/>
  <c r="H47"/>
  <c r="H46" s="1"/>
  <c r="G48"/>
  <c r="H48"/>
  <c r="G51"/>
  <c r="H51"/>
  <c r="H50" s="1"/>
  <c r="G52"/>
  <c r="H52"/>
  <c r="G53"/>
  <c r="H53"/>
  <c r="G54"/>
  <c r="H54"/>
  <c r="G56"/>
  <c r="H56"/>
  <c r="H55" s="1"/>
  <c r="G57"/>
  <c r="H57"/>
  <c r="G58"/>
  <c r="H58"/>
  <c r="G59"/>
  <c r="H59"/>
  <c r="G60"/>
  <c r="E60" s="1"/>
  <c r="H60"/>
  <c r="G61"/>
  <c r="H61"/>
  <c r="G62"/>
  <c r="H62"/>
  <c r="G63"/>
  <c r="H63"/>
  <c r="G64"/>
  <c r="H64"/>
  <c r="G65"/>
  <c r="H65"/>
  <c r="G66"/>
  <c r="E66" s="1"/>
  <c r="H66"/>
  <c r="G67"/>
  <c r="H67"/>
  <c r="G68"/>
  <c r="H68"/>
  <c r="G69"/>
  <c r="H69"/>
  <c r="G71"/>
  <c r="E71" s="1"/>
  <c r="E70" s="1"/>
  <c r="H71"/>
  <c r="H70" s="1"/>
  <c r="G72"/>
  <c r="H72"/>
  <c r="G73"/>
  <c r="H73"/>
  <c r="G75"/>
  <c r="H75"/>
  <c r="H74"/>
  <c r="G76"/>
  <c r="H76"/>
  <c r="G77"/>
  <c r="E77"/>
  <c r="H77"/>
  <c r="G78"/>
  <c r="H78"/>
  <c r="G79"/>
  <c r="E79" s="1"/>
  <c r="H79"/>
  <c r="G80"/>
  <c r="H80"/>
  <c r="G81"/>
  <c r="H81"/>
  <c r="G83"/>
  <c r="G82" s="1"/>
  <c r="H83"/>
  <c r="H82" s="1"/>
  <c r="G84"/>
  <c r="H84"/>
  <c r="G88"/>
  <c r="G87" s="1"/>
  <c r="G94" s="1"/>
  <c r="H88"/>
  <c r="G89"/>
  <c r="H89"/>
  <c r="G90"/>
  <c r="H90"/>
  <c r="G91"/>
  <c r="H91"/>
  <c r="G93"/>
  <c r="G92" s="1"/>
  <c r="H93"/>
  <c r="G97"/>
  <c r="H97"/>
  <c r="G99"/>
  <c r="G100"/>
  <c r="H99"/>
  <c r="H100"/>
  <c r="H98" s="1"/>
  <c r="G102"/>
  <c r="G101"/>
  <c r="G103"/>
  <c r="H102"/>
  <c r="H101" s="1"/>
  <c r="H103"/>
  <c r="G105"/>
  <c r="G104" s="1"/>
  <c r="G106"/>
  <c r="E106" s="1"/>
  <c r="H105"/>
  <c r="H106"/>
  <c r="G108"/>
  <c r="G109"/>
  <c r="E109" s="1"/>
  <c r="H108"/>
  <c r="H109"/>
  <c r="G112"/>
  <c r="G111"/>
  <c r="G113"/>
  <c r="H112"/>
  <c r="H111" s="1"/>
  <c r="H113"/>
  <c r="G115"/>
  <c r="G116"/>
  <c r="H115"/>
  <c r="H116"/>
  <c r="G118"/>
  <c r="G117" s="1"/>
  <c r="G119"/>
  <c r="H118"/>
  <c r="H119"/>
  <c r="G121"/>
  <c r="E121" s="1"/>
  <c r="G122"/>
  <c r="H121"/>
  <c r="H122"/>
  <c r="G124"/>
  <c r="G123" s="1"/>
  <c r="G125"/>
  <c r="E125"/>
  <c r="H124"/>
  <c r="H125"/>
  <c r="H123" s="1"/>
  <c r="G128"/>
  <c r="G129"/>
  <c r="H128"/>
  <c r="H127"/>
  <c r="H129"/>
  <c r="G131"/>
  <c r="G132"/>
  <c r="E132"/>
  <c r="H131"/>
  <c r="H132"/>
  <c r="G134"/>
  <c r="G135"/>
  <c r="G133" s="1"/>
  <c r="H134"/>
  <c r="H135"/>
  <c r="G138"/>
  <c r="G139"/>
  <c r="G137" s="1"/>
  <c r="H138"/>
  <c r="H139"/>
  <c r="G141"/>
  <c r="G142"/>
  <c r="H141"/>
  <c r="H142"/>
  <c r="G144"/>
  <c r="E144" s="1"/>
  <c r="G145"/>
  <c r="H144"/>
  <c r="H145"/>
  <c r="G147"/>
  <c r="G148"/>
  <c r="H147"/>
  <c r="H148"/>
  <c r="G151"/>
  <c r="G150" s="1"/>
  <c r="G152"/>
  <c r="H151"/>
  <c r="H152"/>
  <c r="H150" s="1"/>
  <c r="G154"/>
  <c r="G155"/>
  <c r="H154"/>
  <c r="H155"/>
  <c r="G157"/>
  <c r="G158"/>
  <c r="H157"/>
  <c r="H158"/>
  <c r="H156" s="1"/>
  <c r="G160"/>
  <c r="G161"/>
  <c r="H160"/>
  <c r="H159" s="1"/>
  <c r="H161"/>
  <c r="G163"/>
  <c r="G164"/>
  <c r="H163"/>
  <c r="H162" s="1"/>
  <c r="H164"/>
  <c r="G166"/>
  <c r="G165" s="1"/>
  <c r="G167"/>
  <c r="H166"/>
  <c r="H165" s="1"/>
  <c r="H167"/>
  <c r="G169"/>
  <c r="G170"/>
  <c r="H169"/>
  <c r="H168" s="1"/>
  <c r="H170"/>
  <c r="G172"/>
  <c r="G173"/>
  <c r="H172"/>
  <c r="H171" s="1"/>
  <c r="H173"/>
  <c r="G175"/>
  <c r="G176"/>
  <c r="G174" s="1"/>
  <c r="H175"/>
  <c r="H176"/>
  <c r="G178"/>
  <c r="G179"/>
  <c r="H178"/>
  <c r="H179"/>
  <c r="H177" s="1"/>
  <c r="G181"/>
  <c r="G182"/>
  <c r="H181"/>
  <c r="H182"/>
  <c r="G184"/>
  <c r="G185"/>
  <c r="H184"/>
  <c r="H183"/>
  <c r="H185"/>
  <c r="G188"/>
  <c r="G187" s="1"/>
  <c r="G189"/>
  <c r="H188"/>
  <c r="H189"/>
  <c r="G191"/>
  <c r="G190" s="1"/>
  <c r="G192"/>
  <c r="H191"/>
  <c r="H192"/>
  <c r="H190" s="1"/>
  <c r="H186" s="1"/>
  <c r="G194"/>
  <c r="G195"/>
  <c r="E195" s="1"/>
  <c r="H194"/>
  <c r="H193" s="1"/>
  <c r="H195"/>
  <c r="G197"/>
  <c r="G196" s="1"/>
  <c r="G198"/>
  <c r="H197"/>
  <c r="H196" s="1"/>
  <c r="H198"/>
  <c r="G200"/>
  <c r="G199" s="1"/>
  <c r="G201"/>
  <c r="H200"/>
  <c r="H199" s="1"/>
  <c r="H201"/>
  <c r="G204"/>
  <c r="H204"/>
  <c r="H203"/>
  <c r="H202" s="1"/>
  <c r="G205"/>
  <c r="H205"/>
  <c r="G207"/>
  <c r="H207"/>
  <c r="H206" s="1"/>
  <c r="G210"/>
  <c r="H210"/>
  <c r="H209" s="1"/>
  <c r="G213"/>
  <c r="G211" s="1"/>
  <c r="H213"/>
  <c r="H211" s="1"/>
  <c r="G214"/>
  <c r="H214"/>
  <c r="G215"/>
  <c r="H215"/>
  <c r="G216"/>
  <c r="H216"/>
  <c r="G217"/>
  <c r="H217"/>
  <c r="G218"/>
  <c r="H218"/>
  <c r="G219"/>
  <c r="H219"/>
  <c r="G220"/>
  <c r="H220"/>
  <c r="G221"/>
  <c r="H221"/>
  <c r="G225"/>
  <c r="G230"/>
  <c r="H225"/>
  <c r="G226"/>
  <c r="H226"/>
  <c r="G227"/>
  <c r="H227"/>
  <c r="G228"/>
  <c r="H228"/>
  <c r="G229"/>
  <c r="E229" s="1"/>
  <c r="H229"/>
  <c r="G236"/>
  <c r="G235" s="1"/>
  <c r="H236"/>
  <c r="G237"/>
  <c r="H237"/>
  <c r="G238"/>
  <c r="H238"/>
  <c r="G239"/>
  <c r="H239"/>
  <c r="G241"/>
  <c r="G240" s="1"/>
  <c r="H241"/>
  <c r="H240" s="1"/>
  <c r="G242"/>
  <c r="H242"/>
  <c r="G243"/>
  <c r="H243"/>
  <c r="G244"/>
  <c r="H244"/>
  <c r="G245"/>
  <c r="H245"/>
  <c r="G246"/>
  <c r="H246"/>
  <c r="G247"/>
  <c r="H247"/>
  <c r="G249"/>
  <c r="G248" s="1"/>
  <c r="H249"/>
  <c r="H248" s="1"/>
  <c r="G251"/>
  <c r="H251"/>
  <c r="H250" s="1"/>
  <c r="G252"/>
  <c r="H252"/>
  <c r="G253"/>
  <c r="H253"/>
  <c r="G254"/>
  <c r="H254"/>
  <c r="G255"/>
  <c r="H255"/>
  <c r="G259"/>
  <c r="G265" s="1"/>
  <c r="H259"/>
  <c r="G260"/>
  <c r="H260"/>
  <c r="G261"/>
  <c r="H261"/>
  <c r="G262"/>
  <c r="H262"/>
  <c r="G263"/>
  <c r="E263"/>
  <c r="H263"/>
  <c r="G264"/>
  <c r="H264"/>
  <c r="G268"/>
  <c r="G271" s="1"/>
  <c r="H268"/>
  <c r="H271"/>
  <c r="G269"/>
  <c r="H269"/>
  <c r="G270"/>
  <c r="H270"/>
  <c r="G274"/>
  <c r="G273" s="1"/>
  <c r="H274"/>
  <c r="H273" s="1"/>
  <c r="H230"/>
  <c r="F147"/>
  <c r="F146" s="1"/>
  <c r="F58"/>
  <c r="E58" s="1"/>
  <c r="F144"/>
  <c r="F79"/>
  <c r="F205"/>
  <c r="F203" s="1"/>
  <c r="F198"/>
  <c r="F196" s="1"/>
  <c r="E196" s="1"/>
  <c r="F185"/>
  <c r="F176"/>
  <c r="F170"/>
  <c r="E170" s="1"/>
  <c r="F113"/>
  <c r="E113" s="1"/>
  <c r="F100"/>
  <c r="F99"/>
  <c r="E99"/>
  <c r="F61"/>
  <c r="E61" s="1"/>
  <c r="F57"/>
  <c r="E57" s="1"/>
  <c r="F207"/>
  <c r="F206" s="1"/>
  <c r="F124"/>
  <c r="F68"/>
  <c r="E68" s="1"/>
  <c r="F35"/>
  <c r="F201"/>
  <c r="F189"/>
  <c r="F173"/>
  <c r="E173" s="1"/>
  <c r="F109"/>
  <c r="F42"/>
  <c r="E42" s="1"/>
  <c r="F62"/>
  <c r="H92"/>
  <c r="H94" s="1"/>
  <c r="H22"/>
  <c r="F13"/>
  <c r="E13" s="1"/>
  <c r="E12" s="1"/>
  <c r="G22"/>
  <c r="G55"/>
  <c r="H87"/>
  <c r="E78"/>
  <c r="G70"/>
  <c r="G39"/>
  <c r="G12"/>
  <c r="E185"/>
  <c r="F269"/>
  <c r="E269" s="1"/>
  <c r="F213"/>
  <c r="E213" s="1"/>
  <c r="E211" s="1"/>
  <c r="E148"/>
  <c r="F14"/>
  <c r="E14" s="1"/>
  <c r="E189"/>
  <c r="F116"/>
  <c r="E116" s="1"/>
  <c r="F179"/>
  <c r="F56"/>
  <c r="E56" s="1"/>
  <c r="E55" s="1"/>
  <c r="H117"/>
  <c r="H104"/>
  <c r="G98"/>
  <c r="E216"/>
  <c r="E214"/>
  <c r="G193"/>
  <c r="F47"/>
  <c r="E84"/>
  <c r="E20"/>
  <c r="F119"/>
  <c r="E119" s="1"/>
  <c r="E122"/>
  <c r="E103"/>
  <c r="E191"/>
  <c r="E166"/>
  <c r="E157"/>
  <c r="E21"/>
  <c r="F237"/>
  <c r="F270"/>
  <c r="E270" s="1"/>
  <c r="F36"/>
  <c r="F134"/>
  <c r="F133" s="1"/>
  <c r="F131"/>
  <c r="E131" s="1"/>
  <c r="F200"/>
  <c r="F139"/>
  <c r="F115"/>
  <c r="F114" s="1"/>
  <c r="F118"/>
  <c r="E118" s="1"/>
  <c r="F181"/>
  <c r="F151"/>
  <c r="E151"/>
  <c r="G130"/>
  <c r="E35"/>
  <c r="H265"/>
  <c r="H235"/>
  <c r="H174"/>
  <c r="H137"/>
  <c r="E219"/>
  <c r="E215"/>
  <c r="G153"/>
  <c r="H140"/>
  <c r="E65"/>
  <c r="E54"/>
  <c r="E261"/>
  <c r="E204"/>
  <c r="H187"/>
  <c r="G168"/>
  <c r="G162"/>
  <c r="H143"/>
  <c r="H114"/>
  <c r="G203"/>
  <c r="G202" s="1"/>
  <c r="G183"/>
  <c r="G156"/>
  <c r="H146"/>
  <c r="H136" s="1"/>
  <c r="E37"/>
  <c r="G17"/>
  <c r="G11" s="1"/>
  <c r="E31"/>
  <c r="F120"/>
  <c r="E181"/>
  <c r="F228"/>
  <c r="E228"/>
  <c r="C335" i="1"/>
  <c r="C324"/>
  <c r="C321"/>
  <c r="C48"/>
  <c r="C40"/>
  <c r="C304"/>
  <c r="C288"/>
  <c r="D259"/>
  <c r="D173"/>
  <c r="C91"/>
  <c r="C105"/>
  <c r="C297"/>
  <c r="C460"/>
  <c r="D183"/>
  <c r="C408"/>
  <c r="C322"/>
  <c r="D198"/>
  <c r="G471"/>
  <c r="C12"/>
  <c r="C462" s="1"/>
  <c r="D217"/>
  <c r="C47"/>
  <c r="C52"/>
  <c r="C281"/>
  <c r="C381"/>
  <c r="C79"/>
  <c r="D193"/>
  <c r="D80"/>
  <c r="D82"/>
  <c r="D84"/>
  <c r="D86"/>
  <c r="D88"/>
  <c r="D90"/>
  <c r="D92"/>
  <c r="D104"/>
  <c r="D118"/>
  <c r="D126"/>
  <c r="D128"/>
  <c r="D130"/>
  <c r="D136"/>
  <c r="D144"/>
  <c r="D174"/>
  <c r="D176"/>
  <c r="D197"/>
  <c r="D202"/>
  <c r="D206"/>
  <c r="D208"/>
  <c r="D214"/>
  <c r="D220"/>
  <c r="D221"/>
  <c r="D222"/>
  <c r="D225"/>
  <c r="D226"/>
  <c r="D228"/>
  <c r="D229"/>
  <c r="D262"/>
  <c r="D263"/>
  <c r="D264"/>
  <c r="C111"/>
  <c r="C131"/>
  <c r="C15"/>
  <c r="C49"/>
  <c r="C89"/>
  <c r="C95"/>
  <c r="C99"/>
  <c r="C101"/>
  <c r="C109"/>
  <c r="C119"/>
  <c r="C121"/>
  <c r="C129"/>
  <c r="C143"/>
  <c r="C147"/>
  <c r="C151"/>
  <c r="C154"/>
  <c r="C159"/>
  <c r="C160"/>
  <c r="C162"/>
  <c r="C349"/>
  <c r="C352"/>
  <c r="C357"/>
  <c r="C365"/>
  <c r="C373"/>
  <c r="C375"/>
  <c r="C376"/>
  <c r="C377"/>
  <c r="C384"/>
  <c r="C386"/>
  <c r="C388"/>
  <c r="C400"/>
  <c r="C418"/>
  <c r="C420"/>
  <c r="C426"/>
  <c r="C428"/>
  <c r="C430"/>
  <c r="C432"/>
  <c r="C434"/>
  <c r="C436"/>
  <c r="C438"/>
  <c r="C440"/>
  <c r="C442"/>
  <c r="C444"/>
  <c r="C446"/>
  <c r="C450"/>
  <c r="C452"/>
  <c r="C454"/>
  <c r="C458"/>
  <c r="J474"/>
  <c r="J472"/>
  <c r="F469"/>
  <c r="E468"/>
  <c r="F467"/>
  <c r="E466"/>
  <c r="E462"/>
  <c r="E464" s="1"/>
  <c r="F462"/>
  <c r="D26"/>
  <c r="D462"/>
  <c r="C453"/>
  <c r="C449"/>
  <c r="C445"/>
  <c r="C441"/>
  <c r="C439"/>
  <c r="C437"/>
  <c r="C433"/>
  <c r="C429"/>
  <c r="C425"/>
  <c r="C421"/>
  <c r="C417"/>
  <c r="C413"/>
  <c r="C402"/>
  <c r="C401"/>
  <c r="C398"/>
  <c r="C393"/>
  <c r="C390"/>
  <c r="C378"/>
  <c r="C374"/>
  <c r="C364"/>
  <c r="C361"/>
  <c r="C354"/>
  <c r="C348"/>
  <c r="C344"/>
  <c r="C337"/>
  <c r="C329"/>
  <c r="C326"/>
  <c r="C320"/>
  <c r="C310"/>
  <c r="C309"/>
  <c r="C308"/>
  <c r="C296"/>
  <c r="C280"/>
  <c r="D279"/>
  <c r="D274"/>
  <c r="D257"/>
  <c r="D254"/>
  <c r="D250"/>
  <c r="D246"/>
  <c r="D212"/>
  <c r="D210"/>
  <c r="D209"/>
  <c r="D201"/>
  <c r="D196"/>
  <c r="D194"/>
  <c r="D192"/>
  <c r="D190"/>
  <c r="D188"/>
  <c r="D187"/>
  <c r="C170"/>
  <c r="C169"/>
  <c r="C167"/>
  <c r="C166"/>
  <c r="C165"/>
  <c r="C161"/>
  <c r="C156"/>
  <c r="C155"/>
  <c r="C153"/>
  <c r="C149"/>
  <c r="C148"/>
  <c r="C145"/>
  <c r="C141"/>
  <c r="D140"/>
  <c r="C139"/>
  <c r="D138"/>
  <c r="C137"/>
  <c r="C125"/>
  <c r="D122"/>
  <c r="D120"/>
  <c r="D116"/>
  <c r="D114"/>
  <c r="D112"/>
  <c r="D110"/>
  <c r="D106"/>
  <c r="D102"/>
  <c r="D100"/>
  <c r="D98"/>
  <c r="C97"/>
  <c r="D96"/>
  <c r="D94"/>
  <c r="C93"/>
  <c r="C87"/>
  <c r="C83"/>
  <c r="C81"/>
  <c r="C78"/>
  <c r="C76"/>
  <c r="C75"/>
  <c r="C74"/>
  <c r="C73"/>
  <c r="C72"/>
  <c r="C71"/>
  <c r="C70"/>
  <c r="C69"/>
  <c r="C67"/>
  <c r="C66"/>
  <c r="C63"/>
  <c r="C62"/>
  <c r="C60"/>
  <c r="C58"/>
  <c r="C56"/>
  <c r="C46"/>
  <c r="C44"/>
  <c r="C43"/>
  <c r="C36"/>
  <c r="C33"/>
  <c r="C32"/>
  <c r="C29"/>
  <c r="C27"/>
  <c r="C25"/>
  <c r="C24"/>
  <c r="C23"/>
  <c r="C21"/>
  <c r="C20"/>
  <c r="C17"/>
  <c r="C150"/>
  <c r="C85"/>
  <c r="C64"/>
  <c r="C54"/>
  <c r="C35"/>
  <c r="C107"/>
  <c r="C68"/>
  <c r="D146"/>
  <c r="D142"/>
  <c r="D134"/>
  <c r="D124"/>
  <c r="C317"/>
  <c r="C55"/>
  <c r="C328"/>
  <c r="C301"/>
  <c r="C59"/>
  <c r="C31"/>
  <c r="D132"/>
  <c r="D216"/>
  <c r="C305"/>
  <c r="C53"/>
  <c r="C51"/>
  <c r="C314"/>
  <c r="C333"/>
  <c r="C404"/>
  <c r="C57"/>
  <c r="D245"/>
  <c r="C30"/>
  <c r="C456"/>
  <c r="C293"/>
  <c r="C332"/>
  <c r="C298"/>
  <c r="C389"/>
  <c r="D268"/>
  <c r="C370"/>
  <c r="C369"/>
  <c r="C360"/>
  <c r="C318"/>
  <c r="C350"/>
  <c r="C362"/>
  <c r="C366"/>
  <c r="C380"/>
  <c r="D266"/>
  <c r="C392"/>
  <c r="C396"/>
  <c r="C385"/>
  <c r="D270"/>
  <c r="D278"/>
  <c r="C302"/>
  <c r="C306"/>
  <c r="C300"/>
  <c r="C457"/>
  <c r="C391"/>
  <c r="C340"/>
  <c r="D224"/>
  <c r="C19"/>
  <c r="D233"/>
  <c r="D237"/>
  <c r="D241"/>
  <c r="D272"/>
  <c r="C286"/>
  <c r="C330"/>
  <c r="C345"/>
  <c r="C356"/>
  <c r="C358"/>
  <c r="C372"/>
  <c r="C397"/>
  <c r="C461"/>
  <c r="C312"/>
  <c r="C290"/>
  <c r="C394"/>
  <c r="C294"/>
  <c r="D182"/>
  <c r="C285"/>
  <c r="C342"/>
  <c r="C313"/>
  <c r="G473"/>
  <c r="C448"/>
  <c r="C424"/>
  <c r="C422"/>
  <c r="C416"/>
  <c r="C414"/>
  <c r="C412"/>
  <c r="C405"/>
  <c r="D205"/>
  <c r="C325"/>
  <c r="C341"/>
  <c r="C410"/>
  <c r="D230"/>
  <c r="D232"/>
  <c r="D234"/>
  <c r="D236"/>
  <c r="D238"/>
  <c r="D240"/>
  <c r="D242"/>
  <c r="D258"/>
  <c r="C282"/>
  <c r="C284"/>
  <c r="C292"/>
  <c r="C316"/>
  <c r="C323"/>
  <c r="C346"/>
  <c r="C382"/>
  <c r="C406"/>
  <c r="C409"/>
  <c r="C353"/>
  <c r="C338"/>
  <c r="D276"/>
  <c r="D271"/>
  <c r="D265"/>
  <c r="D261"/>
  <c r="D255"/>
  <c r="D253"/>
  <c r="D251"/>
  <c r="D249"/>
  <c r="D247"/>
  <c r="D213"/>
  <c r="D200"/>
  <c r="C336"/>
  <c r="C334"/>
  <c r="D218"/>
  <c r="D280"/>
  <c r="C171"/>
  <c r="C289"/>
  <c r="D275"/>
  <c r="C368"/>
  <c r="E42" i="4"/>
  <c r="D42"/>
  <c r="C42"/>
  <c r="E41"/>
  <c r="D41"/>
  <c r="C41"/>
  <c r="E38"/>
  <c r="E36" s="1"/>
  <c r="E16" s="1"/>
  <c r="D38"/>
  <c r="C38"/>
  <c r="C36"/>
  <c r="E37"/>
  <c r="D37"/>
  <c r="B37" s="1"/>
  <c r="F28"/>
  <c r="E17"/>
  <c r="D17"/>
  <c r="C17"/>
  <c r="E15"/>
  <c r="E14"/>
  <c r="D15"/>
  <c r="D14" s="1"/>
  <c r="E40"/>
  <c r="E12" s="1"/>
  <c r="D36"/>
  <c r="D16" s="1"/>
  <c r="B38"/>
  <c r="I12" i="3"/>
  <c r="J12"/>
  <c r="J11" s="1"/>
  <c r="I14"/>
  <c r="J14"/>
  <c r="I15"/>
  <c r="J15"/>
  <c r="I16"/>
  <c r="J16"/>
  <c r="I17"/>
  <c r="J17"/>
  <c r="I18"/>
  <c r="G18" s="1"/>
  <c r="J18"/>
  <c r="I19"/>
  <c r="J19"/>
  <c r="I20"/>
  <c r="G20" s="1"/>
  <c r="J20"/>
  <c r="I21"/>
  <c r="G21" s="1"/>
  <c r="J21"/>
  <c r="I22"/>
  <c r="J22"/>
  <c r="I23"/>
  <c r="J23"/>
  <c r="I24"/>
  <c r="G24" s="1"/>
  <c r="J24"/>
  <c r="I25"/>
  <c r="J25"/>
  <c r="I26"/>
  <c r="J26"/>
  <c r="I27"/>
  <c r="J27"/>
  <c r="I30"/>
  <c r="I29" s="1"/>
  <c r="J30"/>
  <c r="J29" s="1"/>
  <c r="I31"/>
  <c r="J31"/>
  <c r="I32"/>
  <c r="J32"/>
  <c r="I33"/>
  <c r="J33"/>
  <c r="I34"/>
  <c r="J34"/>
  <c r="I35"/>
  <c r="J35"/>
  <c r="I36"/>
  <c r="J36"/>
  <c r="I37"/>
  <c r="J37"/>
  <c r="I39"/>
  <c r="J39"/>
  <c r="I40"/>
  <c r="J40"/>
  <c r="I41"/>
  <c r="J41"/>
  <c r="I42"/>
  <c r="J42"/>
  <c r="I43"/>
  <c r="J43"/>
  <c r="I44"/>
  <c r="J44"/>
  <c r="I45"/>
  <c r="J45"/>
  <c r="I46"/>
  <c r="J46"/>
  <c r="I47"/>
  <c r="J47"/>
  <c r="I48"/>
  <c r="J48"/>
  <c r="I49"/>
  <c r="J49"/>
  <c r="I50"/>
  <c r="J50"/>
  <c r="I51"/>
  <c r="J51"/>
  <c r="I52"/>
  <c r="J52"/>
  <c r="I53"/>
  <c r="J53"/>
  <c r="I54"/>
  <c r="J54"/>
  <c r="I56"/>
  <c r="J56"/>
  <c r="I57"/>
  <c r="J57"/>
  <c r="I58"/>
  <c r="J58"/>
  <c r="I59"/>
  <c r="J59"/>
  <c r="I60"/>
  <c r="J60"/>
  <c r="I61"/>
  <c r="J61"/>
  <c r="I62"/>
  <c r="J62"/>
  <c r="I63"/>
  <c r="J63"/>
  <c r="I64"/>
  <c r="J64"/>
  <c r="I65"/>
  <c r="J65"/>
  <c r="I66"/>
  <c r="J66"/>
  <c r="I67"/>
  <c r="J67"/>
  <c r="I69"/>
  <c r="J69"/>
  <c r="I71"/>
  <c r="J71"/>
  <c r="I72"/>
  <c r="J72"/>
  <c r="I73"/>
  <c r="I74"/>
  <c r="J73"/>
  <c r="J74"/>
  <c r="I77"/>
  <c r="J77"/>
  <c r="I78"/>
  <c r="J78"/>
  <c r="I79"/>
  <c r="J79"/>
  <c r="I80"/>
  <c r="J80"/>
  <c r="I81"/>
  <c r="G81"/>
  <c r="J81"/>
  <c r="I82"/>
  <c r="J82"/>
  <c r="I83"/>
  <c r="J83"/>
  <c r="I84"/>
  <c r="G84" s="1"/>
  <c r="J84"/>
  <c r="I85"/>
  <c r="J85"/>
  <c r="I86"/>
  <c r="J86"/>
  <c r="I87"/>
  <c r="G87"/>
  <c r="J87"/>
  <c r="I88"/>
  <c r="J88"/>
  <c r="I89"/>
  <c r="G89" s="1"/>
  <c r="J89"/>
  <c r="I94"/>
  <c r="J94"/>
  <c r="I95"/>
  <c r="J95"/>
  <c r="I96"/>
  <c r="J96"/>
  <c r="I97"/>
  <c r="J97"/>
  <c r="I98"/>
  <c r="J98"/>
  <c r="I99"/>
  <c r="J99"/>
  <c r="I100"/>
  <c r="J100"/>
  <c r="I102"/>
  <c r="I101" s="1"/>
  <c r="I92" s="1"/>
  <c r="J102"/>
  <c r="I103"/>
  <c r="J103"/>
  <c r="I104"/>
  <c r="J104"/>
  <c r="I105"/>
  <c r="J105"/>
  <c r="J101"/>
  <c r="I106"/>
  <c r="J106"/>
  <c r="I107"/>
  <c r="J107"/>
  <c r="I108"/>
  <c r="J108"/>
  <c r="I109"/>
  <c r="J109"/>
  <c r="I110"/>
  <c r="J110"/>
  <c r="I111"/>
  <c r="J111"/>
  <c r="I112"/>
  <c r="J112"/>
  <c r="I113"/>
  <c r="J113"/>
  <c r="I114"/>
  <c r="J114"/>
  <c r="I115"/>
  <c r="J115"/>
  <c r="I116"/>
  <c r="J116"/>
  <c r="I118"/>
  <c r="I117"/>
  <c r="J118"/>
  <c r="J117" s="1"/>
  <c r="I119"/>
  <c r="J119"/>
  <c r="I120"/>
  <c r="J120"/>
  <c r="I121"/>
  <c r="J121"/>
  <c r="I123"/>
  <c r="I122" s="1"/>
  <c r="J123"/>
  <c r="J122"/>
  <c r="I124"/>
  <c r="J124"/>
  <c r="I125"/>
  <c r="J125"/>
  <c r="I126"/>
  <c r="J126"/>
  <c r="I127"/>
  <c r="J127"/>
  <c r="I128"/>
  <c r="J128"/>
  <c r="I129"/>
  <c r="J129"/>
  <c r="I159"/>
  <c r="J159"/>
  <c r="I160"/>
  <c r="J160"/>
  <c r="I161"/>
  <c r="J161"/>
  <c r="I162"/>
  <c r="J162"/>
  <c r="I163"/>
  <c r="J163"/>
  <c r="I164"/>
  <c r="J164"/>
  <c r="I165"/>
  <c r="J165"/>
  <c r="I166"/>
  <c r="J166"/>
  <c r="I167"/>
  <c r="G167" s="1"/>
  <c r="J167"/>
  <c r="I168"/>
  <c r="J168"/>
  <c r="I169"/>
  <c r="J169"/>
  <c r="I171"/>
  <c r="J171"/>
  <c r="I172"/>
  <c r="J172"/>
  <c r="I173"/>
  <c r="J173"/>
  <c r="I174"/>
  <c r="J174"/>
  <c r="I175"/>
  <c r="J175"/>
  <c r="I176"/>
  <c r="J176"/>
  <c r="I177"/>
  <c r="J177"/>
  <c r="I178"/>
  <c r="J178"/>
  <c r="I132"/>
  <c r="J132"/>
  <c r="J131"/>
  <c r="I133"/>
  <c r="J133"/>
  <c r="I135"/>
  <c r="I134"/>
  <c r="J135"/>
  <c r="I136"/>
  <c r="J136"/>
  <c r="I138"/>
  <c r="G138"/>
  <c r="G137" s="1"/>
  <c r="J138"/>
  <c r="I139"/>
  <c r="J139"/>
  <c r="I140"/>
  <c r="J140"/>
  <c r="I141"/>
  <c r="J141"/>
  <c r="I142"/>
  <c r="J142"/>
  <c r="I143"/>
  <c r="J143"/>
  <c r="I144"/>
  <c r="J144"/>
  <c r="I145"/>
  <c r="J145"/>
  <c r="I146"/>
  <c r="J146"/>
  <c r="I147"/>
  <c r="J147"/>
  <c r="I148"/>
  <c r="J148"/>
  <c r="I150"/>
  <c r="J150"/>
  <c r="I151"/>
  <c r="J151"/>
  <c r="I152"/>
  <c r="J152"/>
  <c r="J149"/>
  <c r="I154"/>
  <c r="J154"/>
  <c r="I155"/>
  <c r="J155"/>
  <c r="I156"/>
  <c r="J156"/>
  <c r="I157"/>
  <c r="J157"/>
  <c r="I158"/>
  <c r="J158"/>
  <c r="I181"/>
  <c r="I180" s="1"/>
  <c r="J181"/>
  <c r="J180" s="1"/>
  <c r="I182"/>
  <c r="J182"/>
  <c r="I183"/>
  <c r="J183"/>
  <c r="I184"/>
  <c r="J184"/>
  <c r="I186"/>
  <c r="I185" s="1"/>
  <c r="J186"/>
  <c r="I187"/>
  <c r="J187"/>
  <c r="I188"/>
  <c r="J188"/>
  <c r="I189"/>
  <c r="J189"/>
  <c r="I190"/>
  <c r="J190"/>
  <c r="I192"/>
  <c r="I191" s="1"/>
  <c r="J192"/>
  <c r="J191" s="1"/>
  <c r="I193"/>
  <c r="J193"/>
  <c r="I194"/>
  <c r="J194"/>
  <c r="I196"/>
  <c r="J196"/>
  <c r="I197"/>
  <c r="J197"/>
  <c r="I198"/>
  <c r="J198"/>
  <c r="I200"/>
  <c r="I199" s="1"/>
  <c r="J200"/>
  <c r="J199" s="1"/>
  <c r="I201"/>
  <c r="J201"/>
  <c r="I202"/>
  <c r="J202"/>
  <c r="I203"/>
  <c r="J203"/>
  <c r="I204"/>
  <c r="J204"/>
  <c r="I205"/>
  <c r="J205"/>
  <c r="I206"/>
  <c r="J206"/>
  <c r="I207"/>
  <c r="J207"/>
  <c r="I208"/>
  <c r="J208"/>
  <c r="I209"/>
  <c r="J209"/>
  <c r="I210"/>
  <c r="J210"/>
  <c r="I211"/>
  <c r="J211"/>
  <c r="I213"/>
  <c r="J213"/>
  <c r="I214"/>
  <c r="J214"/>
  <c r="I215"/>
  <c r="J215"/>
  <c r="I216"/>
  <c r="J216"/>
  <c r="I217"/>
  <c r="J217"/>
  <c r="I219"/>
  <c r="I218" s="1"/>
  <c r="J219"/>
  <c r="J218" s="1"/>
  <c r="I221"/>
  <c r="I220"/>
  <c r="J221"/>
  <c r="I222"/>
  <c r="J222"/>
  <c r="I223"/>
  <c r="J223"/>
  <c r="I224"/>
  <c r="J224"/>
  <c r="I225"/>
  <c r="J225"/>
  <c r="I226"/>
  <c r="J226"/>
  <c r="I227"/>
  <c r="J227"/>
  <c r="I228"/>
  <c r="J228"/>
  <c r="I230"/>
  <c r="I229" s="1"/>
  <c r="J230"/>
  <c r="I231"/>
  <c r="J231"/>
  <c r="I233"/>
  <c r="I232"/>
  <c r="J233"/>
  <c r="J232" s="1"/>
  <c r="I234"/>
  <c r="G234" s="1"/>
  <c r="J234"/>
  <c r="I235"/>
  <c r="J235"/>
  <c r="I236"/>
  <c r="J236"/>
  <c r="I238"/>
  <c r="J238"/>
  <c r="I239"/>
  <c r="J239"/>
  <c r="I240"/>
  <c r="J240"/>
  <c r="I242"/>
  <c r="J242"/>
  <c r="I245"/>
  <c r="I244" s="1"/>
  <c r="J245"/>
  <c r="J244"/>
  <c r="I246"/>
  <c r="J246"/>
  <c r="I247"/>
  <c r="J247"/>
  <c r="I248"/>
  <c r="J248"/>
  <c r="I250"/>
  <c r="I249"/>
  <c r="J250"/>
  <c r="J249" s="1"/>
  <c r="I251"/>
  <c r="J251"/>
  <c r="I252"/>
  <c r="J252"/>
  <c r="I253"/>
  <c r="J253"/>
  <c r="I254"/>
  <c r="G254" s="1"/>
  <c r="J254"/>
  <c r="I256"/>
  <c r="I255"/>
  <c r="J256"/>
  <c r="J255" s="1"/>
  <c r="I257"/>
  <c r="J257"/>
  <c r="I258"/>
  <c r="J258"/>
  <c r="I260"/>
  <c r="J260"/>
  <c r="J259"/>
  <c r="I261"/>
  <c r="J261"/>
  <c r="I262"/>
  <c r="J262"/>
  <c r="I263"/>
  <c r="J263"/>
  <c r="I265"/>
  <c r="G265"/>
  <c r="G264" s="1"/>
  <c r="J265"/>
  <c r="J264" s="1"/>
  <c r="I266"/>
  <c r="J266"/>
  <c r="I267"/>
  <c r="J267"/>
  <c r="I268"/>
  <c r="J268"/>
  <c r="I269"/>
  <c r="J269"/>
  <c r="I270"/>
  <c r="J270"/>
  <c r="I271"/>
  <c r="J271"/>
  <c r="I272"/>
  <c r="J272"/>
  <c r="I273"/>
  <c r="J273"/>
  <c r="I274"/>
  <c r="J274"/>
  <c r="I275"/>
  <c r="G275" s="1"/>
  <c r="J275"/>
  <c r="I276"/>
  <c r="G276" s="1"/>
  <c r="J276"/>
  <c r="I278"/>
  <c r="I277" s="1"/>
  <c r="J278"/>
  <c r="I279"/>
  <c r="J279"/>
  <c r="I280"/>
  <c r="J280"/>
  <c r="I281"/>
  <c r="J281"/>
  <c r="I282"/>
  <c r="J282"/>
  <c r="I284"/>
  <c r="I283"/>
  <c r="J284"/>
  <c r="I285"/>
  <c r="J285"/>
  <c r="I287"/>
  <c r="G287" s="1"/>
  <c r="G286" s="1"/>
  <c r="J287"/>
  <c r="I288"/>
  <c r="J288"/>
  <c r="I290"/>
  <c r="I289" s="1"/>
  <c r="J290"/>
  <c r="I291"/>
  <c r="G291"/>
  <c r="J291"/>
  <c r="I293"/>
  <c r="J293"/>
  <c r="I294"/>
  <c r="G294"/>
  <c r="J294"/>
  <c r="I295"/>
  <c r="J295"/>
  <c r="I131"/>
  <c r="J153"/>
  <c r="J195"/>
  <c r="J237"/>
  <c r="J283"/>
  <c r="J289"/>
  <c r="I297"/>
  <c r="I296"/>
  <c r="J297"/>
  <c r="J296" s="1"/>
  <c r="I298"/>
  <c r="G298"/>
  <c r="J298"/>
  <c r="I299"/>
  <c r="J299"/>
  <c r="I300"/>
  <c r="J300"/>
  <c r="I301"/>
  <c r="J301"/>
  <c r="I302"/>
  <c r="J302"/>
  <c r="I305"/>
  <c r="G305" s="1"/>
  <c r="G308" s="1"/>
  <c r="J305"/>
  <c r="J308"/>
  <c r="I306"/>
  <c r="G306" s="1"/>
  <c r="J306"/>
  <c r="I307"/>
  <c r="J307"/>
  <c r="I309"/>
  <c r="J309"/>
  <c r="J315" s="1"/>
  <c r="I310"/>
  <c r="J310"/>
  <c r="I311"/>
  <c r="G311"/>
  <c r="J311"/>
  <c r="I312"/>
  <c r="J312"/>
  <c r="I313"/>
  <c r="J313"/>
  <c r="I314"/>
  <c r="J314"/>
  <c r="I315"/>
  <c r="I318"/>
  <c r="I317" s="1"/>
  <c r="J318"/>
  <c r="J317" s="1"/>
  <c r="I319"/>
  <c r="J319"/>
  <c r="I320"/>
  <c r="J320"/>
  <c r="J134"/>
  <c r="G106"/>
  <c r="I93"/>
  <c r="J292"/>
  <c r="J170"/>
  <c r="G314"/>
  <c r="G16"/>
  <c r="G205"/>
  <c r="G299"/>
  <c r="I11"/>
  <c r="G269"/>
  <c r="G251"/>
  <c r="G238"/>
  <c r="G237" s="1"/>
  <c r="I259"/>
  <c r="G221"/>
  <c r="G220" s="1"/>
  <c r="G282"/>
  <c r="G272"/>
  <c r="I292"/>
  <c r="J212"/>
  <c r="I212"/>
  <c r="I153"/>
  <c r="G128"/>
  <c r="J93"/>
  <c r="J92" s="1"/>
  <c r="G260"/>
  <c r="G259" s="1"/>
  <c r="I237"/>
  <c r="I195"/>
  <c r="J185"/>
  <c r="I137"/>
  <c r="J38"/>
  <c r="J229"/>
  <c r="J76"/>
  <c r="J286"/>
  <c r="J277"/>
  <c r="J220"/>
  <c r="J137"/>
  <c r="J75"/>
  <c r="J55" s="1"/>
  <c r="G248"/>
  <c r="G176"/>
  <c r="G60"/>
  <c r="G58"/>
  <c r="G288"/>
  <c r="G78"/>
  <c r="G13"/>
  <c r="F805" i="9"/>
  <c r="G159" i="2"/>
  <c r="H133"/>
  <c r="H130"/>
  <c r="E197"/>
  <c r="G124" i="3"/>
  <c r="G175"/>
  <c r="G43"/>
  <c r="E33" i="2"/>
  <c r="E53"/>
  <c r="E91"/>
  <c r="G285" i="3"/>
  <c r="G184"/>
  <c r="G143"/>
  <c r="G139"/>
  <c r="G105"/>
  <c r="G100"/>
  <c r="G266"/>
  <c r="H195" i="10"/>
  <c r="H106"/>
  <c r="I308" i="3"/>
  <c r="G171" i="2"/>
  <c r="H28"/>
  <c r="E178"/>
  <c r="G54" i="3"/>
  <c r="G222"/>
  <c r="E129" i="2"/>
  <c r="H205" i="10"/>
  <c r="H204" s="1"/>
  <c r="H176"/>
  <c r="H170"/>
  <c r="H164"/>
  <c r="H119"/>
  <c r="G127" i="2"/>
  <c r="E128"/>
  <c r="H295" i="3"/>
  <c r="G295" s="1"/>
  <c r="C455" i="1"/>
  <c r="H280" i="3"/>
  <c r="G280" s="1"/>
  <c r="C443" i="1"/>
  <c r="H240" i="3"/>
  <c r="G240" s="1"/>
  <c r="C411" i="1"/>
  <c r="H313" i="3"/>
  <c r="C403" i="1"/>
  <c r="H227" i="3"/>
  <c r="G227" s="1"/>
  <c r="C395" i="1"/>
  <c r="H213" i="3"/>
  <c r="C383" i="1"/>
  <c r="H169" i="3"/>
  <c r="G169" s="1"/>
  <c r="C347" i="1"/>
  <c r="H147" i="3"/>
  <c r="G147" s="1"/>
  <c r="C327" i="1"/>
  <c r="C311"/>
  <c r="H127" i="3"/>
  <c r="G127" s="1"/>
  <c r="H96"/>
  <c r="G96" s="1"/>
  <c r="C283" i="1"/>
  <c r="F220" i="10"/>
  <c r="F218" i="2"/>
  <c r="E218" s="1"/>
  <c r="C164" i="1"/>
  <c r="H318" i="3"/>
  <c r="G318" s="1"/>
  <c r="G317" s="1"/>
  <c r="D277" i="1"/>
  <c r="F251" i="2"/>
  <c r="D185" i="1"/>
  <c r="E254" i="9"/>
  <c r="G109"/>
  <c r="F199" i="2"/>
  <c r="E199" s="1"/>
  <c r="E200"/>
  <c r="E97"/>
  <c r="D267" i="1"/>
  <c r="H80" i="3"/>
  <c r="G80" s="1"/>
  <c r="F171" i="10"/>
  <c r="E171" s="1"/>
  <c r="F169" i="2"/>
  <c r="F219" i="10"/>
  <c r="E219" s="1"/>
  <c r="F217" i="2"/>
  <c r="C163" i="1"/>
  <c r="F192" i="10"/>
  <c r="F159"/>
  <c r="C115" i="1"/>
  <c r="F244" i="10"/>
  <c r="E244" s="1"/>
  <c r="H113"/>
  <c r="E114"/>
  <c r="G48"/>
  <c r="I48"/>
  <c r="I49"/>
  <c r="G195"/>
  <c r="I196"/>
  <c r="I189"/>
  <c r="G155"/>
  <c r="I155"/>
  <c r="I156"/>
  <c r="G59" i="3"/>
  <c r="G126" i="9"/>
  <c r="C415" i="1"/>
  <c r="C447"/>
  <c r="D244"/>
  <c r="J132" i="9"/>
  <c r="J181" i="1"/>
  <c r="F247" i="10" s="1"/>
  <c r="E247" s="1"/>
  <c r="H113" i="3"/>
  <c r="G113" s="1"/>
  <c r="H300"/>
  <c r="G300" s="1"/>
  <c r="C459" i="1"/>
  <c r="H262" i="3"/>
  <c r="G262" s="1"/>
  <c r="C427" i="1"/>
  <c r="H217" i="3"/>
  <c r="G217" s="1"/>
  <c r="C387" i="1"/>
  <c r="H208" i="3"/>
  <c r="G208" s="1"/>
  <c r="C379" i="1"/>
  <c r="H194" i="3"/>
  <c r="G194"/>
  <c r="C367" i="1"/>
  <c r="H178" i="3"/>
  <c r="G178" s="1"/>
  <c r="C355" i="1"/>
  <c r="H161" i="3"/>
  <c r="G161" s="1"/>
  <c r="C339" i="1"/>
  <c r="H118" i="3"/>
  <c r="C303" i="1"/>
  <c r="H63" i="3"/>
  <c r="G63" s="1"/>
  <c r="D252" i="1"/>
  <c r="H50" i="3"/>
  <c r="G50" s="1"/>
  <c r="D239" i="1"/>
  <c r="H37" i="3"/>
  <c r="G37" s="1"/>
  <c r="D227" i="1"/>
  <c r="H23" i="3"/>
  <c r="G23"/>
  <c r="D215" i="1"/>
  <c r="H15" i="3"/>
  <c r="G15" s="1"/>
  <c r="D207" i="1"/>
  <c r="F266" i="10"/>
  <c r="E266" s="1"/>
  <c r="F264" i="2"/>
  <c r="E264" s="1"/>
  <c r="D195" i="1"/>
  <c r="F45" i="10"/>
  <c r="E45" s="1"/>
  <c r="G16" i="1"/>
  <c r="F16" i="2" s="1"/>
  <c r="H462" i="1"/>
  <c r="I149" i="3"/>
  <c r="C40" i="4"/>
  <c r="B41"/>
  <c r="D40"/>
  <c r="D12"/>
  <c r="B12" s="1"/>
  <c r="B42"/>
  <c r="B40" s="1"/>
  <c r="E23" i="2"/>
  <c r="E22" s="1"/>
  <c r="F73" i="10"/>
  <c r="C61" i="1"/>
  <c r="F71" i="2"/>
  <c r="F69" i="10"/>
  <c r="E69" s="1"/>
  <c r="F67" i="2"/>
  <c r="E67" s="1"/>
  <c r="F61" i="10"/>
  <c r="E61" s="1"/>
  <c r="F59" i="2"/>
  <c r="E59" s="1"/>
  <c r="C50" i="1"/>
  <c r="F55" i="10"/>
  <c r="E55" s="1"/>
  <c r="C45" i="1"/>
  <c r="F186" i="10"/>
  <c r="C133" i="1"/>
  <c r="F184" i="2"/>
  <c r="F183" s="1"/>
  <c r="F177" i="10"/>
  <c r="E177" s="1"/>
  <c r="F175" i="2"/>
  <c r="C127" i="1"/>
  <c r="F147" i="10"/>
  <c r="F145" s="1"/>
  <c r="D108" i="1"/>
  <c r="F145" i="2"/>
  <c r="E145" s="1"/>
  <c r="G72" i="10"/>
  <c r="I72"/>
  <c r="I73"/>
  <c r="G148"/>
  <c r="I148" s="1"/>
  <c r="I150"/>
  <c r="H126" i="2"/>
  <c r="C423" i="1"/>
  <c r="C399"/>
  <c r="C319"/>
  <c r="C291"/>
  <c r="F34" i="2"/>
  <c r="E198"/>
  <c r="E201"/>
  <c r="G40" i="3"/>
  <c r="E263" i="10"/>
  <c r="H271" i="3"/>
  <c r="G271" s="1"/>
  <c r="C435" i="1"/>
  <c r="H252" i="3"/>
  <c r="C419" i="1"/>
  <c r="C407"/>
  <c r="H235" i="3"/>
  <c r="G235" s="1"/>
  <c r="H200"/>
  <c r="C371" i="1"/>
  <c r="H189" i="3"/>
  <c r="G189" s="1"/>
  <c r="C363" i="1"/>
  <c r="H174" i="3"/>
  <c r="C351" i="1"/>
  <c r="H165" i="3"/>
  <c r="G165" s="1"/>
  <c r="C343" i="1"/>
  <c r="H152" i="3"/>
  <c r="G152" s="1"/>
  <c r="C331" i="1"/>
  <c r="H133" i="3"/>
  <c r="C315" i="1"/>
  <c r="H123" i="3"/>
  <c r="C307" i="1"/>
  <c r="H109" i="3"/>
  <c r="G109" s="1"/>
  <c r="C295" i="1"/>
  <c r="F231" i="10"/>
  <c r="E231"/>
  <c r="C172" i="1"/>
  <c r="F227" i="10"/>
  <c r="F225" i="2"/>
  <c r="F45"/>
  <c r="F44" s="1"/>
  <c r="C39" i="1"/>
  <c r="F38" i="2"/>
  <c r="C34" i="1"/>
  <c r="F30" i="2"/>
  <c r="F32" i="10"/>
  <c r="F26"/>
  <c r="E26" s="1"/>
  <c r="F24" i="2"/>
  <c r="E24" s="1"/>
  <c r="C22" i="1"/>
  <c r="H86" i="3"/>
  <c r="G86" s="1"/>
  <c r="D273" i="1"/>
  <c r="H82" i="3"/>
  <c r="D269" i="1"/>
  <c r="H72" i="3"/>
  <c r="G72" s="1"/>
  <c r="D260" i="1"/>
  <c r="D256"/>
  <c r="H67" i="3"/>
  <c r="G67" s="1"/>
  <c r="D235" i="1"/>
  <c r="H46" i="3"/>
  <c r="G46" s="1"/>
  <c r="H42"/>
  <c r="G42" s="1"/>
  <c r="D231" i="1"/>
  <c r="H27" i="3"/>
  <c r="G27" s="1"/>
  <c r="D219" i="1"/>
  <c r="H19" i="3"/>
  <c r="G19" s="1"/>
  <c r="D211" i="1"/>
  <c r="F262" i="10"/>
  <c r="E262"/>
  <c r="F260" i="2"/>
  <c r="E260" s="1"/>
  <c r="F95" i="10"/>
  <c r="C77" i="1"/>
  <c r="I16" i="10"/>
  <c r="G14"/>
  <c r="I200"/>
  <c r="I132"/>
  <c r="G128"/>
  <c r="I128"/>
  <c r="G237"/>
  <c r="I237"/>
  <c r="I240"/>
  <c r="G171" i="3"/>
  <c r="G170" s="1"/>
  <c r="I170"/>
  <c r="E134" i="2"/>
  <c r="G146"/>
  <c r="G74"/>
  <c r="E75"/>
  <c r="E74" s="1"/>
  <c r="E51"/>
  <c r="E50" s="1"/>
  <c r="G50"/>
  <c r="G46"/>
  <c r="E47"/>
  <c r="E46" s="1"/>
  <c r="F107"/>
  <c r="E108"/>
  <c r="F78" i="10"/>
  <c r="F76" i="2"/>
  <c r="F74" s="1"/>
  <c r="C65" i="1"/>
  <c r="G204" i="10"/>
  <c r="I204" s="1"/>
  <c r="I205"/>
  <c r="G179"/>
  <c r="I179"/>
  <c r="I180"/>
  <c r="E180"/>
  <c r="G145"/>
  <c r="I145"/>
  <c r="I146"/>
  <c r="I139"/>
  <c r="G267"/>
  <c r="G197" i="9"/>
  <c r="G245" i="3"/>
  <c r="G244" s="1"/>
  <c r="C359" i="1"/>
  <c r="D248"/>
  <c r="D191"/>
  <c r="D223"/>
  <c r="C287"/>
  <c r="C431"/>
  <c r="E254" i="2"/>
  <c r="F229"/>
  <c r="F93"/>
  <c r="F92" s="1"/>
  <c r="E259"/>
  <c r="E265" s="1"/>
  <c r="F47" i="10"/>
  <c r="F20"/>
  <c r="F18" i="2"/>
  <c r="E18" s="1"/>
  <c r="E17" s="1"/>
  <c r="F15" i="10"/>
  <c r="F160"/>
  <c r="E160" s="1"/>
  <c r="F158" i="2"/>
  <c r="F156" s="1"/>
  <c r="E156" s="1"/>
  <c r="I264" i="3"/>
  <c r="I38"/>
  <c r="E172" i="2"/>
  <c r="H120"/>
  <c r="F41"/>
  <c r="E192"/>
  <c r="F220"/>
  <c r="E220" s="1"/>
  <c r="E50" i="9"/>
  <c r="E121" i="10"/>
  <c r="E115"/>
  <c r="F248"/>
  <c r="E248" s="1"/>
  <c r="I91"/>
  <c r="G57"/>
  <c r="G201"/>
  <c r="I201" s="1"/>
  <c r="G161"/>
  <c r="G151" s="1"/>
  <c r="I151" s="1"/>
  <c r="F264"/>
  <c r="E264" s="1"/>
  <c r="F262" i="2"/>
  <c r="E262" s="1"/>
  <c r="F205" i="10"/>
  <c r="F204" s="1"/>
  <c r="E206"/>
  <c r="F162"/>
  <c r="F160" i="2"/>
  <c r="E160" s="1"/>
  <c r="F137" i="10"/>
  <c r="E137" s="1"/>
  <c r="F135" i="2"/>
  <c r="G185" i="10"/>
  <c r="I185" s="1"/>
  <c r="G275"/>
  <c r="I276"/>
  <c r="E1321" i="9"/>
  <c r="H220" i="3"/>
  <c r="E1067" i="9"/>
  <c r="F1067"/>
  <c r="E1040"/>
  <c r="F167" i="10"/>
  <c r="E150"/>
  <c r="F122"/>
  <c r="F109"/>
  <c r="F103"/>
  <c r="F229"/>
  <c r="E229" s="1"/>
  <c r="H131" i="3"/>
  <c r="G76" i="10"/>
  <c r="G96"/>
  <c r="I96"/>
  <c r="E163"/>
  <c r="E31"/>
  <c r="F71"/>
  <c r="E71" s="1"/>
  <c r="F69" i="2"/>
  <c r="F54" i="10"/>
  <c r="F52" s="1"/>
  <c r="F52" i="2"/>
  <c r="E52" s="1"/>
  <c r="F85" i="10"/>
  <c r="F83" i="2"/>
  <c r="F184" i="10"/>
  <c r="E184" s="1"/>
  <c r="F182" i="2"/>
  <c r="F180" s="1"/>
  <c r="I28" i="10"/>
  <c r="G24"/>
  <c r="I24" s="1"/>
  <c r="G30"/>
  <c r="I30" s="1"/>
  <c r="I36"/>
  <c r="G208"/>
  <c r="I208" s="1"/>
  <c r="I210"/>
  <c r="G192"/>
  <c r="I192" s="1"/>
  <c r="I232"/>
  <c r="H180" i="2"/>
  <c r="H137" i="3"/>
  <c r="E969" i="9"/>
  <c r="E1469"/>
  <c r="E197" i="10"/>
  <c r="E166"/>
  <c r="H293" i="3"/>
  <c r="G293" s="1"/>
  <c r="G292" s="1"/>
  <c r="H148" i="10"/>
  <c r="G113"/>
  <c r="I113" s="1"/>
  <c r="G242"/>
  <c r="I242"/>
  <c r="E425" i="9"/>
  <c r="G252" i="10"/>
  <c r="I252" s="1"/>
  <c r="I253"/>
  <c r="H185"/>
  <c r="G213"/>
  <c r="G198"/>
  <c r="I198"/>
  <c r="G158"/>
  <c r="I158"/>
  <c r="G273"/>
  <c r="I273"/>
  <c r="H68" i="3"/>
  <c r="H201" i="10"/>
  <c r="H161"/>
  <c r="H125"/>
  <c r="G182"/>
  <c r="I182"/>
  <c r="G98"/>
  <c r="G29"/>
  <c r="I29" s="1"/>
  <c r="F46"/>
  <c r="E47"/>
  <c r="E46" s="1"/>
  <c r="F158"/>
  <c r="E159"/>
  <c r="I76"/>
  <c r="I275"/>
  <c r="E15"/>
  <c r="E14" s="1"/>
  <c r="E93" i="2"/>
  <c r="E92" s="1"/>
  <c r="E45"/>
  <c r="E44" s="1"/>
  <c r="G123" i="3"/>
  <c r="G122" s="1"/>
  <c r="G200"/>
  <c r="G199" s="1"/>
  <c r="H199"/>
  <c r="E175" i="2"/>
  <c r="F185" i="10"/>
  <c r="E185" s="1"/>
  <c r="E186"/>
  <c r="I195"/>
  <c r="G254" i="9"/>
  <c r="G255"/>
  <c r="E426"/>
  <c r="F426"/>
  <c r="G426" s="1"/>
  <c r="F94" i="10"/>
  <c r="E95"/>
  <c r="E94" s="1"/>
  <c r="G112"/>
  <c r="G225" s="1"/>
  <c r="G118" i="3"/>
  <c r="G117" s="1"/>
  <c r="E217" i="2"/>
  <c r="F159"/>
  <c r="I57" i="10"/>
  <c r="G51"/>
  <c r="I51"/>
  <c r="E78"/>
  <c r="E225" i="2"/>
  <c r="E230" s="1"/>
  <c r="I98" i="10"/>
  <c r="I213"/>
  <c r="G211"/>
  <c r="I211" s="1"/>
  <c r="F84"/>
  <c r="E83" i="2"/>
  <c r="E82" s="1"/>
  <c r="F82"/>
  <c r="E162" i="10"/>
  <c r="F161"/>
  <c r="E41" i="2"/>
  <c r="I267" i="10"/>
  <c r="G13"/>
  <c r="I13" s="1"/>
  <c r="I14"/>
  <c r="E184" i="2"/>
  <c r="E73" i="10"/>
  <c r="E72" s="1"/>
  <c r="H212" i="3"/>
  <c r="G213"/>
  <c r="G212" s="1"/>
  <c r="G138" i="10"/>
  <c r="I138"/>
  <c r="G188"/>
  <c r="I188"/>
  <c r="G257" i="9"/>
  <c r="G260"/>
  <c r="E147" i="2" l="1"/>
  <c r="F48" i="10"/>
  <c r="E161"/>
  <c r="E146" i="2"/>
  <c r="F168"/>
  <c r="E168" s="1"/>
  <c r="E239"/>
  <c r="E182"/>
  <c r="E142"/>
  <c r="E73"/>
  <c r="E62"/>
  <c r="E147" i="10"/>
  <c r="F170"/>
  <c r="E170" s="1"/>
  <c r="E76" i="2"/>
  <c r="F173" i="10"/>
  <c r="E112" i="2"/>
  <c r="E115"/>
  <c r="H244" i="3"/>
  <c r="G257"/>
  <c r="G320"/>
  <c r="G65"/>
  <c r="G17"/>
  <c r="E194" i="2"/>
  <c r="F104"/>
  <c r="F171"/>
  <c r="E171" s="1"/>
  <c r="E207"/>
  <c r="E206" s="1"/>
  <c r="E36"/>
  <c r="E26"/>
  <c r="H134" i="3"/>
  <c r="E82" i="10"/>
  <c r="E149"/>
  <c r="F125"/>
  <c r="E49"/>
  <c r="E48" s="1"/>
  <c r="E28"/>
  <c r="F182"/>
  <c r="F176"/>
  <c r="E176" s="1"/>
  <c r="E179" i="2"/>
  <c r="E81"/>
  <c r="E64"/>
  <c r="F127"/>
  <c r="F140"/>
  <c r="E140" s="1"/>
  <c r="F198" i="10"/>
  <c r="E200"/>
  <c r="F55" i="2"/>
  <c r="F117"/>
  <c r="E117" s="1"/>
  <c r="H122" i="3"/>
  <c r="G182"/>
  <c r="G223"/>
  <c r="G77"/>
  <c r="G76" s="1"/>
  <c r="G73"/>
  <c r="F150" i="2"/>
  <c r="H289" i="3"/>
  <c r="H286"/>
  <c r="F30" i="10"/>
  <c r="F113"/>
  <c r="F255" i="2"/>
  <c r="E255" s="1"/>
  <c r="E257" i="10"/>
  <c r="F1469" i="9"/>
  <c r="F1471" s="1"/>
  <c r="D189" i="1"/>
  <c r="F252" i="2"/>
  <c r="E252" s="1"/>
  <c r="D186" i="1"/>
  <c r="F1040" i="9"/>
  <c r="F251" i="10"/>
  <c r="E251" s="1"/>
  <c r="E250" s="1"/>
  <c r="F249" i="2"/>
  <c r="F242"/>
  <c r="E242" s="1"/>
  <c r="F243" i="10"/>
  <c r="E243" s="1"/>
  <c r="E242" s="1"/>
  <c r="D177" i="1"/>
  <c r="C464"/>
  <c r="F32" i="2"/>
  <c r="E32" s="1"/>
  <c r="F104" i="9"/>
  <c r="F39" i="2"/>
  <c r="C38" i="1"/>
  <c r="F50" i="9"/>
  <c r="H51" s="1"/>
  <c r="F14"/>
  <c r="C14" i="1"/>
  <c r="F1321" i="9"/>
  <c r="E253" i="10"/>
  <c r="E252" s="1"/>
  <c r="F252"/>
  <c r="E251" i="2"/>
  <c r="E250" s="1"/>
  <c r="F249" i="10"/>
  <c r="F996" i="9"/>
  <c r="E249" i="10"/>
  <c r="F245" i="2"/>
  <c r="D181" i="1"/>
  <c r="F969" i="9"/>
  <c r="G969" s="1"/>
  <c r="D180" i="1"/>
  <c r="F244" i="2"/>
  <c r="E244" s="1"/>
  <c r="D179" i="1"/>
  <c r="F243" i="2"/>
  <c r="E243" s="1"/>
  <c r="J462" i="1"/>
  <c r="D175"/>
  <c r="F238" i="2"/>
  <c r="E238" s="1"/>
  <c r="F210"/>
  <c r="E210" s="1"/>
  <c r="C157" i="1"/>
  <c r="F698" i="9"/>
  <c r="C42" i="1"/>
  <c r="F48" i="2"/>
  <c r="C28" i="1"/>
  <c r="C37"/>
  <c r="G462"/>
  <c r="F19" i="2"/>
  <c r="C18" i="1"/>
  <c r="F12" i="2"/>
  <c r="E16"/>
  <c r="F18" i="10"/>
  <c r="E18" s="1"/>
  <c r="E133" i="2"/>
  <c r="G126"/>
  <c r="G186"/>
  <c r="G136"/>
  <c r="H49"/>
  <c r="J179" i="3"/>
  <c r="E150" i="2"/>
  <c r="J243" i="3"/>
  <c r="J241" s="1"/>
  <c r="J130" s="1"/>
  <c r="J303" s="1"/>
  <c r="E122" i="10"/>
  <c r="E173"/>
  <c r="G183" i="3"/>
  <c r="G142"/>
  <c r="G120"/>
  <c r="E129" i="10"/>
  <c r="E159" i="2"/>
  <c r="E182" i="10"/>
  <c r="E30" i="2"/>
  <c r="H145" i="10"/>
  <c r="E54"/>
  <c r="E205"/>
  <c r="G140" i="2"/>
  <c r="G49"/>
  <c r="G82" i="3"/>
  <c r="E220" i="10"/>
  <c r="G177" i="2"/>
  <c r="E177" s="1"/>
  <c r="I286" i="3"/>
  <c r="I76"/>
  <c r="B17" i="4"/>
  <c r="G180" i="2"/>
  <c r="E180" s="1"/>
  <c r="E237"/>
  <c r="E88"/>
  <c r="E87" s="1"/>
  <c r="H256"/>
  <c r="G209"/>
  <c r="G206"/>
  <c r="G114"/>
  <c r="G110" s="1"/>
  <c r="H107"/>
  <c r="H96" s="1"/>
  <c r="G274" i="3"/>
  <c r="G258"/>
  <c r="G231"/>
  <c r="G216"/>
  <c r="G209"/>
  <c r="G198"/>
  <c r="G172"/>
  <c r="G168"/>
  <c r="G116"/>
  <c r="G107"/>
  <c r="E227" i="2"/>
  <c r="G69" i="3"/>
  <c r="G64"/>
  <c r="G47"/>
  <c r="G39"/>
  <c r="G38" s="1"/>
  <c r="G30"/>
  <c r="G29" s="1"/>
  <c r="E34" i="10"/>
  <c r="E65"/>
  <c r="E86"/>
  <c r="E217"/>
  <c r="E207"/>
  <c r="E204" s="1"/>
  <c r="E181"/>
  <c r="E169"/>
  <c r="E246"/>
  <c r="E254"/>
  <c r="H48"/>
  <c r="H52"/>
  <c r="H51" s="1"/>
  <c r="H84"/>
  <c r="H189"/>
  <c r="H182"/>
  <c r="H158"/>
  <c r="E158" s="1"/>
  <c r="H142"/>
  <c r="H116"/>
  <c r="H112" s="1"/>
  <c r="G151" i="3"/>
  <c r="G99"/>
  <c r="E183" i="2"/>
  <c r="E103" i="10"/>
  <c r="I243" i="3"/>
  <c r="I241" s="1"/>
  <c r="E20" i="10"/>
  <c r="E19" s="1"/>
  <c r="E13" s="1"/>
  <c r="G27" i="2"/>
  <c r="E32" i="10"/>
  <c r="E30" s="1"/>
  <c r="G133" i="3"/>
  <c r="E130" i="10"/>
  <c r="G313" i="3"/>
  <c r="G143" i="2"/>
  <c r="E190"/>
  <c r="E139"/>
  <c r="E104"/>
  <c r="G250"/>
  <c r="G256" s="1"/>
  <c r="G266" s="1"/>
  <c r="G275" s="1"/>
  <c r="E176"/>
  <c r="E246"/>
  <c r="G301" i="3"/>
  <c r="G279"/>
  <c r="G263"/>
  <c r="G256"/>
  <c r="G255" s="1"/>
  <c r="G239"/>
  <c r="G228"/>
  <c r="G225"/>
  <c r="G214"/>
  <c r="G210"/>
  <c r="G190"/>
  <c r="G186"/>
  <c r="G185" s="1"/>
  <c r="G181"/>
  <c r="G180" s="1"/>
  <c r="G166"/>
  <c r="G163"/>
  <c r="G160"/>
  <c r="G154"/>
  <c r="G153" s="1"/>
  <c r="G148"/>
  <c r="G144"/>
  <c r="G140"/>
  <c r="G136"/>
  <c r="G129"/>
  <c r="G114"/>
  <c r="G108"/>
  <c r="G102"/>
  <c r="G101" s="1"/>
  <c r="G97"/>
  <c r="E22" i="10"/>
  <c r="G319" i="3"/>
  <c r="G88"/>
  <c r="G85"/>
  <c r="G61"/>
  <c r="G51"/>
  <c r="G44"/>
  <c r="G31"/>
  <c r="G25"/>
  <c r="G22"/>
  <c r="G14"/>
  <c r="E50" i="10"/>
  <c r="E66"/>
  <c r="E62"/>
  <c r="E83"/>
  <c r="E136"/>
  <c r="H27" i="2"/>
  <c r="G261" i="3"/>
  <c r="G242"/>
  <c r="G146"/>
  <c r="G95"/>
  <c r="E145" i="10"/>
  <c r="E135" i="2"/>
  <c r="H110"/>
  <c r="I75" i="3"/>
  <c r="I55" s="1"/>
  <c r="I28" s="1"/>
  <c r="I90" s="1"/>
  <c r="E111" i="2"/>
  <c r="E38"/>
  <c r="G252" i="3"/>
  <c r="E34" i="2"/>
  <c r="E268"/>
  <c r="E271" s="1"/>
  <c r="E120"/>
  <c r="G120"/>
  <c r="G107"/>
  <c r="G96" s="1"/>
  <c r="E124"/>
  <c r="H153"/>
  <c r="H149" s="1"/>
  <c r="H11"/>
  <c r="E15"/>
  <c r="G270" i="3"/>
  <c r="G253"/>
  <c r="G250"/>
  <c r="G249" s="1"/>
  <c r="G236"/>
  <c r="G233"/>
  <c r="G232" s="1"/>
  <c r="G196"/>
  <c r="G195" s="1"/>
  <c r="G187"/>
  <c r="G158"/>
  <c r="G155"/>
  <c r="G145"/>
  <c r="G141"/>
  <c r="G132"/>
  <c r="G131" s="1"/>
  <c r="G119"/>
  <c r="G112"/>
  <c r="G103"/>
  <c r="G98"/>
  <c r="G94"/>
  <c r="G93" s="1"/>
  <c r="E37" i="10"/>
  <c r="G79" i="3"/>
  <c r="G62"/>
  <c r="G56"/>
  <c r="G52"/>
  <c r="G45"/>
  <c r="G41"/>
  <c r="G32"/>
  <c r="G26"/>
  <c r="G74"/>
  <c r="E265" i="10"/>
  <c r="E21"/>
  <c r="E67"/>
  <c r="E63"/>
  <c r="E81"/>
  <c r="E110"/>
  <c r="E99"/>
  <c r="H30"/>
  <c r="H29" s="1"/>
  <c r="H198"/>
  <c r="E198" s="1"/>
  <c r="H192"/>
  <c r="H179"/>
  <c r="H167"/>
  <c r="E167" s="1"/>
  <c r="H139"/>
  <c r="H132"/>
  <c r="H128" s="1"/>
  <c r="G85" i="2"/>
  <c r="G233" i="10"/>
  <c r="I225"/>
  <c r="H296" i="3"/>
  <c r="G297"/>
  <c r="G296" s="1"/>
  <c r="F132" i="10"/>
  <c r="E132" s="1"/>
  <c r="E133"/>
  <c r="F116"/>
  <c r="E117"/>
  <c r="G87"/>
  <c r="I87" s="1"/>
  <c r="H292" i="3"/>
  <c r="I112" i="10"/>
  <c r="E109"/>
  <c r="G258"/>
  <c r="H151"/>
  <c r="E69" i="2"/>
  <c r="I161" i="10"/>
  <c r="E49" i="2"/>
  <c r="F143"/>
  <c r="E143" s="1"/>
  <c r="H170" i="3"/>
  <c r="H315"/>
  <c r="E192" i="10"/>
  <c r="B36" i="4"/>
  <c r="H266" i="2"/>
  <c r="H275" s="1"/>
  <c r="E125" i="10"/>
  <c r="H117" i="3"/>
  <c r="G121"/>
  <c r="F164" i="10"/>
  <c r="E164" s="1"/>
  <c r="E165"/>
  <c r="F106"/>
  <c r="E106" s="1"/>
  <c r="E107"/>
  <c r="F100"/>
  <c r="E102"/>
  <c r="E245" i="2"/>
  <c r="F232" i="10"/>
  <c r="H249" i="3"/>
  <c r="H277"/>
  <c r="H191"/>
  <c r="F154" i="2"/>
  <c r="E154" s="1"/>
  <c r="C113" i="1"/>
  <c r="F156" i="10"/>
  <c r="F214"/>
  <c r="F213" s="1"/>
  <c r="F211" s="1"/>
  <c r="C158" i="1"/>
  <c r="F212" i="2"/>
  <c r="E209" i="10"/>
  <c r="E208" s="1"/>
  <c r="F208"/>
  <c r="H149" i="3"/>
  <c r="J28"/>
  <c r="J90" s="1"/>
  <c r="J304" s="1"/>
  <c r="J316" s="1"/>
  <c r="J321" s="1"/>
  <c r="J323" s="1"/>
  <c r="F41" i="10"/>
  <c r="F29" s="1"/>
  <c r="F119"/>
  <c r="E119" s="1"/>
  <c r="H218" i="3"/>
  <c r="G219"/>
  <c r="G218" s="1"/>
  <c r="F138" i="2"/>
  <c r="F140" i="10"/>
  <c r="C103" i="1"/>
  <c r="F190" i="10"/>
  <c r="C135" i="1"/>
  <c r="F188" i="2"/>
  <c r="F89" i="10"/>
  <c r="F96" s="1"/>
  <c r="E93"/>
  <c r="F152"/>
  <c r="E152" s="1"/>
  <c r="E154"/>
  <c r="I179" i="3"/>
  <c r="I130" s="1"/>
  <c r="I303" s="1"/>
  <c r="F24" i="10"/>
  <c r="H11" i="3"/>
  <c r="H13" i="10"/>
  <c r="H87" s="1"/>
  <c r="F98" i="2"/>
  <c r="F17" i="10"/>
  <c r="E17" s="1"/>
  <c r="H75" i="3"/>
  <c r="H55" s="1"/>
  <c r="F273" i="10"/>
  <c r="G307" i="3"/>
  <c r="E25" i="2"/>
  <c r="E29"/>
  <c r="E28" s="1"/>
  <c r="E27" s="1"/>
  <c r="E226"/>
  <c r="F70"/>
  <c r="F49" s="1"/>
  <c r="E80"/>
  <c r="F87"/>
  <c r="F94" s="1"/>
  <c r="E193"/>
  <c r="E221"/>
  <c r="F211"/>
  <c r="E163"/>
  <c r="E155"/>
  <c r="F101"/>
  <c r="E101" s="1"/>
  <c r="E167"/>
  <c r="F50"/>
  <c r="G66" i="3"/>
  <c r="G53"/>
  <c r="G48"/>
  <c r="G35"/>
  <c r="G33"/>
  <c r="E209" i="2"/>
  <c r="G302" i="3"/>
  <c r="F237" i="10"/>
  <c r="H308" i="3"/>
  <c r="G230"/>
  <c r="G229" s="1"/>
  <c r="G226"/>
  <c r="G224"/>
  <c r="G215"/>
  <c r="G211"/>
  <c r="G206"/>
  <c r="G204"/>
  <c r="G202"/>
  <c r="G162"/>
  <c r="G159"/>
  <c r="G157"/>
  <c r="G126"/>
  <c r="G115"/>
  <c r="G111"/>
  <c r="G104"/>
  <c r="B16" i="4"/>
  <c r="E195" i="10"/>
  <c r="F202" i="2"/>
  <c r="E203"/>
  <c r="E98"/>
  <c r="F96"/>
  <c r="F112" i="10"/>
  <c r="E113"/>
  <c r="E11" i="2"/>
  <c r="E94"/>
  <c r="E127"/>
  <c r="G92" i="3"/>
  <c r="F98" i="10"/>
  <c r="E100"/>
  <c r="E98" s="1"/>
  <c r="E96"/>
  <c r="E51"/>
  <c r="H264" i="3"/>
  <c r="H243" s="1"/>
  <c r="H241" s="1"/>
  <c r="E227" i="10"/>
  <c r="E232" s="1"/>
  <c r="F230" i="2"/>
  <c r="F76" i="10"/>
  <c r="F22" i="2"/>
  <c r="F179" i="10"/>
  <c r="E239"/>
  <c r="F123" i="2"/>
  <c r="H237" i="3"/>
  <c r="H101"/>
  <c r="E42" i="10"/>
  <c r="E41" s="1"/>
  <c r="E89" i="2"/>
  <c r="E72"/>
  <c r="G284" i="3"/>
  <c r="G283" s="1"/>
  <c r="G135"/>
  <c r="G134" s="1"/>
  <c r="G193"/>
  <c r="G12"/>
  <c r="G11" s="1"/>
  <c r="F235" i="2"/>
  <c r="F271"/>
  <c r="E205"/>
  <c r="E202" s="1"/>
  <c r="E102"/>
  <c r="E271" i="10"/>
  <c r="E120"/>
  <c r="E212"/>
  <c r="E211" s="1"/>
  <c r="H38" i="3"/>
  <c r="F72" i="10"/>
  <c r="F51" s="1"/>
  <c r="F265" i="2"/>
  <c r="F19" i="10"/>
  <c r="H232" i="3"/>
  <c r="H317"/>
  <c r="E158" i="2"/>
  <c r="F174"/>
  <c r="E174" s="1"/>
  <c r="E169"/>
  <c r="F135" i="10"/>
  <c r="E135" s="1"/>
  <c r="H93" i="3"/>
  <c r="F130" i="2"/>
  <c r="E130" s="1"/>
  <c r="G278" i="3"/>
  <c r="G277" s="1"/>
  <c r="G243" s="1"/>
  <c r="G174"/>
  <c r="H29"/>
  <c r="F153" i="2"/>
  <c r="E141"/>
  <c r="G290" i="3"/>
  <c r="G289" s="1"/>
  <c r="F165" i="2"/>
  <c r="E165" s="1"/>
  <c r="F162"/>
  <c r="E162" s="1"/>
  <c r="E100"/>
  <c r="E16" i="10"/>
  <c r="H229" i="3"/>
  <c r="F142" i="10"/>
  <c r="E127"/>
  <c r="F267"/>
  <c r="F201"/>
  <c r="E201" s="1"/>
  <c r="G179" i="3" l="1"/>
  <c r="F209" i="2"/>
  <c r="F242" i="10"/>
  <c r="F250" i="2"/>
  <c r="F250" i="10"/>
  <c r="F258" s="1"/>
  <c r="F268" s="1"/>
  <c r="F248" i="2"/>
  <c r="E249"/>
  <c r="E248" s="1"/>
  <c r="E256" s="1"/>
  <c r="E266" s="1"/>
  <c r="E258" i="10"/>
  <c r="E268" s="1"/>
  <c r="F28" i="2"/>
  <c r="F27" s="1"/>
  <c r="F240"/>
  <c r="K462" i="1"/>
  <c r="F46" i="2"/>
  <c r="E48"/>
  <c r="E29" i="10"/>
  <c r="E87" s="1"/>
  <c r="E85" i="2"/>
  <c r="J475" i="1"/>
  <c r="K476" s="1"/>
  <c r="G464"/>
  <c r="E19" i="2"/>
  <c r="F17"/>
  <c r="F11" s="1"/>
  <c r="H225" i="10"/>
  <c r="H233" s="1"/>
  <c r="H279" s="1"/>
  <c r="H188"/>
  <c r="E179"/>
  <c r="E116"/>
  <c r="E112" s="1"/>
  <c r="E114" i="2"/>
  <c r="G149"/>
  <c r="G223" s="1"/>
  <c r="G231" s="1"/>
  <c r="G277" s="1"/>
  <c r="E107"/>
  <c r="E96" s="1"/>
  <c r="I304" i="3"/>
  <c r="I316" s="1"/>
  <c r="I321" s="1"/>
  <c r="I323" s="1"/>
  <c r="G75"/>
  <c r="G55" s="1"/>
  <c r="G28" s="1"/>
  <c r="G90" s="1"/>
  <c r="H277" i="2"/>
  <c r="H223"/>
  <c r="H231" s="1"/>
  <c r="H85"/>
  <c r="H138" i="10"/>
  <c r="E138" i="2"/>
  <c r="F137"/>
  <c r="F155" i="10"/>
  <c r="E155" s="1"/>
  <c r="E151" s="1"/>
  <c r="E156"/>
  <c r="E128"/>
  <c r="E188" i="2"/>
  <c r="F187"/>
  <c r="E140" i="10"/>
  <c r="F139"/>
  <c r="E139" s="1"/>
  <c r="I233"/>
  <c r="H92" i="3"/>
  <c r="F14" i="10"/>
  <c r="F13" s="1"/>
  <c r="F87" s="1"/>
  <c r="E190"/>
  <c r="F189"/>
  <c r="I258"/>
  <c r="G268"/>
  <c r="G241" i="3"/>
  <c r="E126" i="2"/>
  <c r="H28" i="3"/>
  <c r="H90" s="1"/>
  <c r="F138" i="10"/>
  <c r="E142"/>
  <c r="E153" i="2"/>
  <c r="E149" s="1"/>
  <c r="F149"/>
  <c r="E123"/>
  <c r="E110" s="1"/>
  <c r="F110"/>
  <c r="H179" i="3"/>
  <c r="F151" i="10"/>
  <c r="F128"/>
  <c r="F126" i="2"/>
  <c r="G130" i="3" l="1"/>
  <c r="G303" s="1"/>
  <c r="F256" i="2"/>
  <c r="F266" s="1"/>
  <c r="F85"/>
  <c r="E138" i="10"/>
  <c r="E187" i="2"/>
  <c r="E186" s="1"/>
  <c r="F186"/>
  <c r="G277" i="10"/>
  <c r="I268"/>
  <c r="F136" i="2"/>
  <c r="F223" s="1"/>
  <c r="E137"/>
  <c r="E136" s="1"/>
  <c r="E189" i="10"/>
  <c r="E188" s="1"/>
  <c r="F188"/>
  <c r="F225" s="1"/>
  <c r="F233" s="1"/>
  <c r="G304" i="3"/>
  <c r="G316" s="1"/>
  <c r="G321" s="1"/>
  <c r="G323" s="1"/>
  <c r="H130"/>
  <c r="H303" s="1"/>
  <c r="H304" s="1"/>
  <c r="H316" s="1"/>
  <c r="H321" s="1"/>
  <c r="F231" i="2" l="1"/>
  <c r="E223"/>
  <c r="E231" s="1"/>
  <c r="E225" i="10"/>
  <c r="E233" s="1"/>
  <c r="G279"/>
  <c r="I277"/>
  <c r="G278"/>
  <c r="C15" i="4"/>
  <c r="F16" l="1"/>
  <c r="F18" s="1"/>
  <c r="F30" s="1"/>
  <c r="B15"/>
  <c r="B14" s="1"/>
  <c r="H323" i="3"/>
  <c r="F274" i="2" l="1"/>
  <c r="F276" i="10"/>
  <c r="E274" i="2" l="1"/>
  <c r="E273" s="1"/>
  <c r="E275" s="1"/>
  <c r="E277" s="1"/>
  <c r="F273"/>
  <c r="F275" s="1"/>
  <c r="E276" i="10"/>
  <c r="E275" s="1"/>
  <c r="E277" s="1"/>
  <c r="E279" s="1"/>
  <c r="F275"/>
  <c r="F277" s="1"/>
  <c r="F277" i="2" l="1"/>
  <c r="F276"/>
  <c r="F279" i="10"/>
  <c r="F278"/>
  <c r="I136" i="9" l="1"/>
  <c r="G184"/>
</calcChain>
</file>

<file path=xl/comments1.xml><?xml version="1.0" encoding="utf-8"?>
<comments xmlns="http://schemas.openxmlformats.org/spreadsheetml/2006/main">
  <authors>
    <author>D255LINUX</author>
  </authors>
  <commentList>
    <comment ref="I14" authorId="0">
      <text>
        <r>
          <rPr>
            <b/>
            <sz val="9"/>
            <color indexed="81"/>
            <rFont val="Tahoma"/>
            <family val="2"/>
          </rPr>
          <t>income recognized as receivable shall be deducted from the income account. However, receivable collected from the income recognized from the prior year shall be included in the inflows.:-)</t>
        </r>
      </text>
    </comment>
    <comment ref="I16" authorId="0">
      <text/>
    </comment>
    <comment ref="I22" authorId="0">
      <text>
        <r>
          <rPr>
            <b/>
            <sz val="9"/>
            <color indexed="81"/>
            <rFont val="Tahoma"/>
            <family val="2"/>
          </rPr>
          <t>SUPPLIES ADJUSTMENT SHALL NOT BE INCLUDED IN THE CF (gj)</t>
        </r>
      </text>
    </comment>
    <comment ref="I24" authorId="0">
      <text>
        <r>
          <rPr>
            <b/>
            <sz val="9"/>
            <color indexed="81"/>
            <rFont val="Tahoma"/>
            <family val="2"/>
          </rPr>
          <t>interest expense recognized as payable shall be deducted from 975 in preparing CF however the payment of payable shall be carried in the CF</t>
        </r>
      </text>
    </comment>
    <comment ref="I25" authorId="0">
      <text>
        <r>
          <rPr>
            <b/>
            <sz val="9"/>
            <color indexed="81"/>
            <rFont val="Tahoma"/>
            <family val="2"/>
          </rPr>
          <t>RECOGNITION OF EXPENSE IN THE SPECIFIC PREPAID PAYMENTS SHALL NOT INCLUDED (gj)
401 is included due to uncertainty as to specific breakdown.:-)</t>
        </r>
      </text>
    </comment>
    <comment ref="I30" authorId="0">
      <text>
        <r>
          <rPr>
            <b/>
            <sz val="9"/>
            <color indexed="81"/>
            <rFont val="Tahoma"/>
            <family val="2"/>
          </rPr>
          <t>only SALE OF PPE's credited to the specific account shall be included (sale must be ascertained)
CF accounting
PPE (net of accu. Depn.) + Gain on sale of PPE</t>
        </r>
      </text>
    </comment>
    <comment ref="I35" authorId="0">
      <text>
        <r>
          <rPr>
            <b/>
            <sz val="9"/>
            <color indexed="81"/>
            <rFont val="Tahoma"/>
            <family val="2"/>
          </rPr>
          <t xml:space="preserve">only  PURCHASE OF PPE's debited to the specific account shall be included (purchase must be ascertained) direct donation of PPEs are not included. HOWEVER, donations in the form of cash used to acquire assets shall be reflected in the CF. </t>
        </r>
      </text>
    </comment>
    <comment ref="I36" authorId="0">
      <text>
        <r>
          <rPr>
            <b/>
            <sz val="9"/>
            <color indexed="81"/>
            <rFont val="Tahoma"/>
            <family val="2"/>
          </rPr>
          <t>investment in stocks, marketable securities and sinking fund(maintained by third party) are included however though for the reason of having the same purpose as to acquisition</t>
        </r>
      </text>
    </comment>
  </commentList>
</comments>
</file>

<file path=xl/sharedStrings.xml><?xml version="1.0" encoding="utf-8"?>
<sst xmlns="http://schemas.openxmlformats.org/spreadsheetml/2006/main" count="3627" uniqueCount="2629">
  <si>
    <t>Evangeline Cabalan</t>
  </si>
  <si>
    <t>Josefina Tado</t>
  </si>
  <si>
    <t>Schedule 2 - 111- CASH IN BANK-LCCA</t>
  </si>
  <si>
    <t>(1) LBP</t>
  </si>
  <si>
    <t>-UNICEF</t>
  </si>
  <si>
    <t xml:space="preserve">    PNB</t>
  </si>
  <si>
    <t>-Proper</t>
  </si>
  <si>
    <t>(3) PNB</t>
  </si>
  <si>
    <t xml:space="preserve">   Accumulated Depreciation - Technical and Scientific Equipment </t>
  </si>
  <si>
    <t>336</t>
  </si>
  <si>
    <t>301-10-06-0940</t>
  </si>
  <si>
    <t>301-10-09-0945</t>
  </si>
  <si>
    <t>301-10-06-0872</t>
  </si>
  <si>
    <t>Anicito Alimes</t>
  </si>
  <si>
    <t>301-10-06-0878</t>
  </si>
  <si>
    <t>301-10-06-0869</t>
  </si>
  <si>
    <t>301-10-06-0875</t>
  </si>
  <si>
    <t>301-10-06-0860</t>
  </si>
  <si>
    <t>301-10-06-0868</t>
  </si>
  <si>
    <t>301-10-06-0862</t>
  </si>
  <si>
    <t>Julie Burlat</t>
  </si>
  <si>
    <t>301-10-06-0883</t>
  </si>
  <si>
    <t>Celedonio  Dejolde</t>
  </si>
  <si>
    <t>301-10-06-0865</t>
  </si>
  <si>
    <t>301-10-06-0876</t>
  </si>
  <si>
    <t>301-10-06-0867</t>
  </si>
  <si>
    <t>301-10-06-0871</t>
  </si>
  <si>
    <t>301-10-06-0873</t>
  </si>
  <si>
    <t>301-10-06-0877</t>
  </si>
  <si>
    <t>301-10-06-0874</t>
  </si>
  <si>
    <t>301-10-06-0866</t>
  </si>
  <si>
    <t>Arnulfo Recamara</t>
  </si>
  <si>
    <t>301-10-06-0885</t>
  </si>
  <si>
    <t>Christopher Taray</t>
  </si>
  <si>
    <t>301-10-06-0884</t>
  </si>
  <si>
    <t>301-10-06-0870</t>
  </si>
  <si>
    <t>301-10-06-0863</t>
  </si>
  <si>
    <t>301-10-06-0861</t>
  </si>
  <si>
    <t>301-10-06-0864</t>
  </si>
  <si>
    <t xml:space="preserve">   Accumulated Depreciation - Office Buildings </t>
  </si>
  <si>
    <t>311</t>
  </si>
  <si>
    <t xml:space="preserve">School Buildings </t>
  </si>
  <si>
    <t>212</t>
  </si>
  <si>
    <t xml:space="preserve">   Accumulated Depreciation - School Buildings </t>
  </si>
  <si>
    <t>312</t>
  </si>
  <si>
    <t xml:space="preserve">Hospitals and Health Centers  </t>
  </si>
  <si>
    <t>213</t>
  </si>
  <si>
    <t>ASERBAC NEGO Kart &amp; Kabuhayan Info Tech</t>
  </si>
  <si>
    <t>-Medicare Trust Deposit (Medicare Patients)</t>
  </si>
  <si>
    <t>-Patin-ay Street Lights Repalcement</t>
  </si>
  <si>
    <t>-Registration of Basic Customer Services Skills &amp; Update on Anti-Red Tape</t>
  </si>
  <si>
    <t>301-10-02-0305</t>
  </si>
  <si>
    <t>301-10-02-0306</t>
  </si>
  <si>
    <t>301-10-02-0311</t>
  </si>
  <si>
    <t>301-10-02-0257</t>
  </si>
  <si>
    <t>301-10-02-0256</t>
  </si>
  <si>
    <t xml:space="preserve">Repairs and Maintenance - Leasehold Improvements, Buildings </t>
  </si>
  <si>
    <t>819</t>
  </si>
  <si>
    <t xml:space="preserve">Repairs and Maintenance - Other Leasehold Improvements </t>
  </si>
  <si>
    <t>820</t>
  </si>
  <si>
    <t xml:space="preserve">Repairs and Maintenance - Office Equipment </t>
  </si>
  <si>
    <t>821</t>
  </si>
  <si>
    <t xml:space="preserve">Repairs and Maintenance - Furniture and Fixtures </t>
  </si>
  <si>
    <t>822</t>
  </si>
  <si>
    <t xml:space="preserve">Repairs and Maintenance - IT Equipment and Software </t>
  </si>
  <si>
    <t>823</t>
  </si>
  <si>
    <t xml:space="preserve">Repairs and Maintenance - Machineries </t>
  </si>
  <si>
    <t>826</t>
  </si>
  <si>
    <t xml:space="preserve">Repairs and Maintenance - Agricultural, Fishery and Forestry Equipment </t>
  </si>
  <si>
    <t>827</t>
  </si>
  <si>
    <t xml:space="preserve">Repairs and Maintenance - Airport Equipment </t>
  </si>
  <si>
    <t>828</t>
  </si>
  <si>
    <t xml:space="preserve">Repairs and Maintenance - Communication Equipment </t>
  </si>
  <si>
    <t>829</t>
  </si>
  <si>
    <t xml:space="preserve">Repairs and Maintenance - Construction and Heavy Equipment </t>
  </si>
  <si>
    <t>830</t>
  </si>
  <si>
    <t xml:space="preserve">Repairs and Maintenance - Firefighting Equipment and Accessories </t>
  </si>
  <si>
    <t>831</t>
  </si>
  <si>
    <t xml:space="preserve">Repairs and Maintenance - Hospital Equipment </t>
  </si>
  <si>
    <t>832</t>
  </si>
  <si>
    <t xml:space="preserve">Repairs and Maintenance - Medical, Dental and Laboratory Equipment </t>
  </si>
  <si>
    <t>833</t>
  </si>
  <si>
    <t xml:space="preserve">Repairs and Maintenance - Military and Police Equipment </t>
  </si>
  <si>
    <t>834</t>
  </si>
  <si>
    <t xml:space="preserve">Advertising Expenses </t>
  </si>
  <si>
    <t>780</t>
  </si>
  <si>
    <t xml:space="preserve">Printing and Binding Expenses </t>
  </si>
  <si>
    <t>781</t>
  </si>
  <si>
    <t xml:space="preserve">Rent Expenses </t>
  </si>
  <si>
    <t>782</t>
  </si>
  <si>
    <t xml:space="preserve">Representation Expenses </t>
  </si>
  <si>
    <t>783</t>
  </si>
  <si>
    <t xml:space="preserve">Repairs and Maintenance - Parks, Plazas and Monuments </t>
  </si>
  <si>
    <t>852</t>
  </si>
  <si>
    <t xml:space="preserve">Repairs and Maintenance - Ports, Lighthouses and Harbors </t>
  </si>
  <si>
    <t>853</t>
  </si>
  <si>
    <t>SCHEDULE</t>
  </si>
  <si>
    <t>Schedule 1 - 106- Payroll Fund</t>
  </si>
  <si>
    <t>6189.94 La Paz &amp; Loreto Boundary Conflict</t>
  </si>
  <si>
    <t xml:space="preserve">Cash Gift </t>
  </si>
  <si>
    <t>724</t>
  </si>
  <si>
    <t xml:space="preserve">Year End Bonus </t>
  </si>
  <si>
    <t>725</t>
  </si>
  <si>
    <t xml:space="preserve">Life and Retirement Insurance Contributions </t>
  </si>
  <si>
    <t>731</t>
  </si>
  <si>
    <t xml:space="preserve">PAG-IBIG Contributions </t>
  </si>
  <si>
    <t>732</t>
  </si>
  <si>
    <t xml:space="preserve">PHILHEALTH Contributions </t>
  </si>
  <si>
    <t>733</t>
  </si>
  <si>
    <t xml:space="preserve">ECC Contributions </t>
  </si>
  <si>
    <t>734</t>
  </si>
  <si>
    <t xml:space="preserve">Pension Benefits - Civilian </t>
  </si>
  <si>
    <t>738</t>
  </si>
  <si>
    <t xml:space="preserve">Pension Benefits - Military/Uniformed </t>
  </si>
  <si>
    <t>739</t>
  </si>
  <si>
    <t xml:space="preserve">Retirement Benefits - Civilian </t>
  </si>
  <si>
    <t>740</t>
  </si>
  <si>
    <t xml:space="preserve">Retirement Benefits - Military/Uniformed </t>
  </si>
  <si>
    <t>741</t>
  </si>
  <si>
    <t xml:space="preserve">Terminal Leave Benefits </t>
  </si>
  <si>
    <t>742</t>
  </si>
  <si>
    <t xml:space="preserve">Health Workers Benefits </t>
  </si>
  <si>
    <t>743</t>
  </si>
  <si>
    <t xml:space="preserve">Other Personnel Benefits </t>
  </si>
  <si>
    <t>749</t>
  </si>
  <si>
    <t>-Material Testing</t>
  </si>
  <si>
    <t>Actual Cash Bal.</t>
  </si>
  <si>
    <t>08/08</t>
  </si>
  <si>
    <t>(28)LBP</t>
  </si>
  <si>
    <t>-DAR-IFAD-LP</t>
  </si>
  <si>
    <t>(29)LBP</t>
  </si>
  <si>
    <t>-DAR-IFAD-GOP</t>
  </si>
  <si>
    <t>(30)LBP</t>
  </si>
  <si>
    <t>-Mutual Fund</t>
  </si>
  <si>
    <t>(31)DBP</t>
  </si>
  <si>
    <t>-PSF-Governor's Guest House</t>
  </si>
  <si>
    <t>(32)DBP</t>
  </si>
  <si>
    <t>-Blood Screening Fee</t>
  </si>
  <si>
    <t>(33)DBP</t>
  </si>
  <si>
    <t>-MINSSAD</t>
  </si>
  <si>
    <t>(34)LBP</t>
  </si>
  <si>
    <t>-SELAP</t>
  </si>
  <si>
    <t>(35)DBP</t>
  </si>
  <si>
    <t>DOPMH AFFILIATION</t>
  </si>
  <si>
    <t>(36)LBP</t>
  </si>
  <si>
    <t>-ECCD</t>
  </si>
  <si>
    <t>(37)DBP</t>
  </si>
  <si>
    <t>-DBP TF-Proper</t>
  </si>
  <si>
    <t>Schedule   3 - 112- CASH IN BANK-Savings Deposit</t>
  </si>
  <si>
    <t>PNB-KKK</t>
  </si>
  <si>
    <t>PNB-</t>
  </si>
  <si>
    <t>LBP</t>
  </si>
  <si>
    <t>DBP</t>
  </si>
  <si>
    <t>Calamity Fund</t>
  </si>
  <si>
    <t>Schedule 4-138-DUE FROM LGU'S</t>
  </si>
  <si>
    <t>Bayugan</t>
  </si>
  <si>
    <t>Bunawan</t>
  </si>
  <si>
    <t>Esperanza</t>
  </si>
  <si>
    <t>La Paz</t>
  </si>
  <si>
    <t>Loreto</t>
  </si>
  <si>
    <t>Prosperidad</t>
  </si>
  <si>
    <t>Rosario</t>
  </si>
  <si>
    <t>San Francisco</t>
  </si>
  <si>
    <t>San Luis</t>
  </si>
  <si>
    <t>Sibagat</t>
  </si>
  <si>
    <t>Sta. Josefa</t>
  </si>
  <si>
    <t>Talacogon</t>
  </si>
  <si>
    <t>Trento</t>
  </si>
  <si>
    <t>Veruela</t>
  </si>
  <si>
    <t>Schedule  5- 139-DUE FROM NGO'S/PO'S</t>
  </si>
  <si>
    <t>ADSEMCO-MUTUAL FUND</t>
  </si>
  <si>
    <t>AGUSAN PEOPLES HEALTH DEV'T. FOUNDATION-111(22)</t>
  </si>
  <si>
    <t>ANTITOQUIA DEVELOPMENT MPC/Rodrigo Sesdosyo</t>
  </si>
  <si>
    <t>BEAWAN MPC(SELAP) VEG. PROGRAM-ESPERANZA, ADS</t>
  </si>
  <si>
    <t>CROSABICON IRRIGATION ASSOCIATION/Fernando Meñoza</t>
  </si>
  <si>
    <t>EDWARD WOOD FURNITURE/Ms. Lanie Chua</t>
  </si>
  <si>
    <t>JOSEPHINE TUDTUD</t>
  </si>
  <si>
    <t>Irrigation Association - BALIK/Eugenio Alamillo</t>
  </si>
  <si>
    <t>MARYJANE CATON</t>
  </si>
  <si>
    <t>NELMA DE GUZMAN, Enterprise Dev. Loan Assistance</t>
  </si>
  <si>
    <t xml:space="preserve">   Accumulated Depreciation - Other Leasehold Improvements </t>
  </si>
  <si>
    <t>320</t>
  </si>
  <si>
    <t xml:space="preserve">Office Equipment </t>
  </si>
  <si>
    <t>221</t>
  </si>
  <si>
    <t xml:space="preserve">   Accumulated Depreciation - Office Equipment </t>
  </si>
  <si>
    <t>321</t>
  </si>
  <si>
    <t xml:space="preserve">Furniture and Fixtures  </t>
  </si>
  <si>
    <t>222</t>
  </si>
  <si>
    <t xml:space="preserve">   Accumulated Depreciation - Furniture and Fixtures </t>
  </si>
  <si>
    <t>322</t>
  </si>
  <si>
    <t xml:space="preserve">IT Equipment and Software  </t>
  </si>
  <si>
    <t>223</t>
  </si>
  <si>
    <t xml:space="preserve">   Accumulated Depreciation - IT Equipment </t>
  </si>
  <si>
    <t>323</t>
  </si>
  <si>
    <t xml:space="preserve">Library Books </t>
  </si>
  <si>
    <t>224</t>
  </si>
  <si>
    <t xml:space="preserve">   Accumulated Depreciation - Library Books </t>
  </si>
  <si>
    <t>324</t>
  </si>
  <si>
    <t xml:space="preserve">Machineries </t>
  </si>
  <si>
    <t>226</t>
  </si>
  <si>
    <t xml:space="preserve">   Accumulated Depreciation - Machineries </t>
  </si>
  <si>
    <t>326</t>
  </si>
  <si>
    <t xml:space="preserve">Waterways, Aqueducts, Seawalls, River Walls and Others </t>
  </si>
  <si>
    <t>257</t>
  </si>
  <si>
    <t xml:space="preserve">Other Public Infrastructures </t>
  </si>
  <si>
    <t>260</t>
  </si>
  <si>
    <t xml:space="preserve">Reforestation - Upland </t>
  </si>
  <si>
    <t>261</t>
  </si>
  <si>
    <t xml:space="preserve">Reforestation - Marshland/Swampland </t>
  </si>
  <si>
    <t>262</t>
  </si>
  <si>
    <t xml:space="preserve">Construction in Progress - Agency Assets </t>
  </si>
  <si>
    <t>264</t>
  </si>
  <si>
    <t xml:space="preserve">Construction in Progress - Roads, Highways and Bridges </t>
  </si>
  <si>
    <t>266</t>
  </si>
  <si>
    <t xml:space="preserve">Construction in Progress - Parks, Plazas and Monuments </t>
  </si>
  <si>
    <t>267</t>
  </si>
  <si>
    <t xml:space="preserve">Construction in Progress - Ports, Lighthouses and Harbors </t>
  </si>
  <si>
    <t>268</t>
  </si>
  <si>
    <t>Construction in Progress - Artesian Wells, Reservoirs, Pumping Stations and Conduits</t>
  </si>
  <si>
    <t>269</t>
  </si>
  <si>
    <t>Sherwin Calonzo</t>
  </si>
  <si>
    <t>Susan Obedoza</t>
  </si>
  <si>
    <t>Valentina G. Plaza</t>
  </si>
  <si>
    <t>Sylvia de Guzman</t>
  </si>
  <si>
    <t>Villa Udad</t>
  </si>
  <si>
    <t>Virginia Urbiztondo</t>
  </si>
  <si>
    <t>Yolanda Urbiztondo</t>
  </si>
  <si>
    <t>SUB TOTAL</t>
  </si>
  <si>
    <t>148-2-Due from Officers and Employees</t>
  </si>
  <si>
    <t>Adolph Edward G. Plaza-PSF-Travel</t>
  </si>
  <si>
    <t>Adonis Carillo</t>
  </si>
  <si>
    <t>Aime Aclan</t>
  </si>
  <si>
    <t>Alexander Caburian</t>
  </si>
  <si>
    <t>Alfredo Juanico</t>
  </si>
  <si>
    <t>Almar Lambaco</t>
  </si>
  <si>
    <t>Ananias Villacorta</t>
  </si>
  <si>
    <t>Annaliza Guinzal-PSF</t>
  </si>
  <si>
    <t>Antonio Maratas, Jr.</t>
  </si>
  <si>
    <t>Antonio Vecina-RW3SP</t>
  </si>
  <si>
    <t>Ariel Dalagon-DOE</t>
  </si>
  <si>
    <t>Armand Tereso</t>
  </si>
  <si>
    <t>Carmen Visto-ICHP</t>
  </si>
  <si>
    <t>Caryl Cavan-DOE</t>
  </si>
  <si>
    <t>Ceasar Soposo</t>
  </si>
  <si>
    <t>Celedenio Dejolde</t>
  </si>
  <si>
    <t>Celso Balmadres-CDF</t>
  </si>
  <si>
    <t>Christopher Lindo</t>
  </si>
  <si>
    <t>Clemente Piencenaves-PSF</t>
  </si>
  <si>
    <t>Cynthia Lumanta-RW3SP</t>
  </si>
  <si>
    <t>Danilda Legaspi</t>
  </si>
  <si>
    <t>Danny Simbre</t>
  </si>
  <si>
    <t>Democrito Cellan</t>
  </si>
  <si>
    <t>Deanna Fudalan</t>
  </si>
  <si>
    <t>Dexter Bajade</t>
  </si>
  <si>
    <t>Denny Sasil</t>
  </si>
  <si>
    <t>Diomedes Cimagala</t>
  </si>
  <si>
    <t>Domingo M. Castro, Jr.</t>
  </si>
  <si>
    <t>Don Paul Carney</t>
  </si>
  <si>
    <t>Edgar Batisting-RW3SP</t>
  </si>
  <si>
    <t>Edna Acolentava-ICHP</t>
  </si>
  <si>
    <t>Ellen Chua-RW3SP</t>
  </si>
  <si>
    <t>Elmer Ruaya</t>
  </si>
  <si>
    <t>Esterlita Dotillos-under deposit</t>
  </si>
  <si>
    <t>Felipe Parilla-</t>
  </si>
  <si>
    <t>Fernando Mordeno-PSF</t>
  </si>
  <si>
    <t>Flordeliza Quintas</t>
  </si>
  <si>
    <t>Florencio Ocariz-PSF</t>
  </si>
  <si>
    <t>ACT FOR PEACE PROGRAM  (Disaster Risk REduction)</t>
  </si>
  <si>
    <t>CIDP- Patin-ay Lucac FMR</t>
  </si>
  <si>
    <t>InterMed Pharma &amp; Medical Supplies</t>
  </si>
  <si>
    <t>-Real Property of ADS Sales</t>
  </si>
  <si>
    <t>dated 10/13/08-O.R.# 71453 dated 01/16/09</t>
  </si>
  <si>
    <t>159</t>
  </si>
  <si>
    <t xml:space="preserve">Medical, Dental and Laboratory Supplies Inventory </t>
  </si>
  <si>
    <t>160</t>
  </si>
  <si>
    <t xml:space="preserve">Gasoline, Oil and Lubricants Inventory </t>
  </si>
  <si>
    <t>161</t>
  </si>
  <si>
    <t xml:space="preserve">Agricultural Supplies Inventory </t>
  </si>
  <si>
    <t>162</t>
  </si>
  <si>
    <t xml:space="preserve">OR#3501185 dtd 12/3/2010 - pay't of VAT </t>
  </si>
  <si>
    <t>OR#3424132 dtd 11/23/2010 - pay't of VAT (deposited to GF-LBP)</t>
  </si>
  <si>
    <t>TRUST FUND</t>
  </si>
  <si>
    <t xml:space="preserve"> </t>
  </si>
  <si>
    <t>JEV# 301-09.11.2227.UNITED LABORATORIES, INC -PHRTF-PO#1882-09-DC</t>
  </si>
  <si>
    <t>Monyeen Grace Alguno Muncano</t>
  </si>
  <si>
    <t>MADYAW CONST. AND DEVELOPMENT (Const. of Flood control Revetment along Riverbank of Poblacion, Veruela, Phase 1 )</t>
  </si>
  <si>
    <t>J F P  Enterprises</t>
  </si>
  <si>
    <t>Corazon Canda</t>
  </si>
  <si>
    <t>-KABUS FOUNDATION</t>
  </si>
  <si>
    <t>-K5</t>
  </si>
  <si>
    <t>-KING COOPERATIVE</t>
  </si>
  <si>
    <t>-LAPAZ HOSPITAL-Revolving Fund</t>
  </si>
  <si>
    <t>-LBP Tayuman-Credit Advice</t>
  </si>
  <si>
    <t>-LGU Counterpart for Trainings Mgt..</t>
  </si>
  <si>
    <t>-LGU Share to COA</t>
  </si>
  <si>
    <t>Gavino Joric</t>
  </si>
  <si>
    <t>Guda Quintino</t>
  </si>
  <si>
    <t>Hector Bianet</t>
  </si>
  <si>
    <t>Helen Olaer</t>
  </si>
  <si>
    <t>Jessica Unson</t>
  </si>
  <si>
    <t>Jesus Roy  Sagrado-CDF</t>
  </si>
  <si>
    <t>Jet Jonathan De Los Angeles</t>
  </si>
  <si>
    <t>Jocelyn Calo</t>
  </si>
  <si>
    <t>Joetham Makilan</t>
  </si>
  <si>
    <t>Joey Morales-DOE</t>
  </si>
  <si>
    <t>Jorge Anchangco</t>
  </si>
  <si>
    <t>Jose Lilio</t>
  </si>
  <si>
    <t>Jose Oriol Dy</t>
  </si>
  <si>
    <t>Josefina Lastimado</t>
  </si>
  <si>
    <t>Joselito Guzman</t>
  </si>
  <si>
    <t>Joselito Tui-RW3SP</t>
  </si>
  <si>
    <t>Joseph Doromal-DOE</t>
  </si>
  <si>
    <t>Judith Miro</t>
  </si>
  <si>
    <t>Justiniano Panganoron</t>
  </si>
  <si>
    <t>Laura Tumanda</t>
  </si>
  <si>
    <t>Lauro Galleto</t>
  </si>
  <si>
    <t>Linda Buquir</t>
  </si>
  <si>
    <t>Mark Ytoc</t>
  </si>
  <si>
    <t>Maria Valentina Plaza</t>
  </si>
  <si>
    <t>Maximo Orpina-RW3SP</t>
  </si>
  <si>
    <t>Merly Tayapad</t>
  </si>
  <si>
    <t>Michael  Joseph Santos</t>
  </si>
  <si>
    <t>Michelle Culentas</t>
  </si>
  <si>
    <t>Minda Manliguez</t>
  </si>
  <si>
    <t>Nemesio Maceren</t>
  </si>
  <si>
    <t>Nilo Espeso</t>
  </si>
  <si>
    <t>J E B Trading</t>
  </si>
  <si>
    <t>Mabuhay Furniture</t>
  </si>
  <si>
    <t>MC Jones Electronics Enterprise</t>
  </si>
  <si>
    <t>LGU Counterpart for Model of Excellence Schools Program of Book for Barrios foundation, INC.</t>
  </si>
  <si>
    <t>-Victorino Pajota</t>
  </si>
  <si>
    <t>-Virginia Adlaon</t>
  </si>
  <si>
    <t>-Warlito Gingo</t>
  </si>
  <si>
    <t>-Wilfredo Canoy</t>
  </si>
  <si>
    <t>-William Gadiano</t>
  </si>
  <si>
    <t>-Yolanda Apat</t>
  </si>
  <si>
    <t>-Zenona Benedicto</t>
  </si>
  <si>
    <t>-Zosimo Galocgoc</t>
  </si>
  <si>
    <t>-ZUELLIG PHARMA</t>
  </si>
  <si>
    <t>-Teresita Aroy</t>
  </si>
  <si>
    <t>RELEASE</t>
  </si>
  <si>
    <t>Schedule 8- 159- DRUGS AND MEDICINE INVENTORY</t>
  </si>
  <si>
    <t>H &amp; E  Commercial</t>
  </si>
  <si>
    <t>H &amp; E Commercial</t>
  </si>
  <si>
    <t>Hajmel Printing</t>
  </si>
  <si>
    <t>Hajmel Printing Press</t>
  </si>
  <si>
    <t>Home Place Marketing</t>
  </si>
  <si>
    <t xml:space="preserve">Instatech </t>
  </si>
  <si>
    <t>JEV# 301-09-04-0623.HARJENS TRADE CENTER.-LHSD-P.O.# 1058-09-SH</t>
  </si>
  <si>
    <t>dated 3/23/09-O.R.# 0040 dated 5/4/09</t>
  </si>
  <si>
    <t xml:space="preserve">JEV# 301-09-04-0707.JNK MEDICAL SALES.-PHRTF-P.O.# 5750-08-DC </t>
  </si>
  <si>
    <t>dated 12/28/08-O.R.# 1586 dated 04/22/09</t>
  </si>
  <si>
    <t>JEV# 301-09-04-0709.ZUELLIG PHARMA CORP. -PHRTF-P.O.# 5042-08-DC</t>
  </si>
  <si>
    <t>dated 10/30/08-O.R.# 72668 dated 05/05/09</t>
  </si>
  <si>
    <t>JEV# 301-09-04-0710.ZUELLIG PHARMA CORP. -PHRTF-P.O.# 5103-08-DC</t>
  </si>
  <si>
    <t>dated 11/04/08-O.R.# 72667 dated 05/05/09</t>
  </si>
  <si>
    <t>JEV# 301-09-05-0881.JNK MEDICAL SALES. -PHRTF-P.O.# 1062-09-DC</t>
  </si>
  <si>
    <t>dated 03/24/09-O.R.# 1547 dated 05/27/09</t>
  </si>
  <si>
    <t>JEV# 301-09-05-0882.JNK MEDICAL SALES. -PHRTF-P.O.# 1364-09-DC</t>
  </si>
  <si>
    <t>dated 04/22/09-O.R.# 1548 dated 05/27/09</t>
  </si>
  <si>
    <t>JEV# 301-09-06-1068.ZUELLIG PHARMA CORP. -PHRTF-P.O.# 6032-08-DC</t>
  </si>
  <si>
    <t>dated 12/23/08-O.R.# 76077 dated 06/10/09</t>
  </si>
  <si>
    <t>Calamity Fund 2010</t>
  </si>
  <si>
    <t>DA-VAIP GMAP-Const. of NRJ Bunawan-Tagbayangbang FMR</t>
  </si>
  <si>
    <t>DA-VAIP GMAP-Const. of Purok 6-Purok 5 Marcelina FMR</t>
  </si>
  <si>
    <t>DA-VAIP GMAP-Const. of Saguma FMR</t>
  </si>
  <si>
    <t>-EC-DOPMH  Revolving Fund</t>
  </si>
  <si>
    <t>-EC-EMCH  Revolving Fund</t>
  </si>
  <si>
    <t>-EC-BDH  Revolving Fund</t>
  </si>
  <si>
    <t>UNICEF CNSP</t>
  </si>
  <si>
    <t>Judith Lagumbay</t>
  </si>
  <si>
    <t>Rex Mel Acedillo</t>
  </si>
  <si>
    <t>Vevencio Banog</t>
  </si>
  <si>
    <t>ADSE ENTERPRISES (Const. of NRJ-Bunawan-Tagbayangbang FMR, Bunawan, Agusan del Sur)</t>
  </si>
  <si>
    <t>-Corazon Belgera</t>
  </si>
  <si>
    <t>-Corazon Requena</t>
  </si>
  <si>
    <t>-Ester Libo</t>
  </si>
  <si>
    <t>-Eunice Timcang</t>
  </si>
  <si>
    <t>-Evelyn Durango</t>
  </si>
  <si>
    <t>-Felisa Ferol</t>
  </si>
  <si>
    <t>-Felisa Soratorio</t>
  </si>
  <si>
    <t>-Felisicima Guay</t>
  </si>
  <si>
    <t>-Felix Buctot</t>
  </si>
  <si>
    <t>-Fortunato Aspirin</t>
  </si>
  <si>
    <t>-Fortunato Gentalla</t>
  </si>
  <si>
    <t>-Fortunato Sabado</t>
  </si>
  <si>
    <t>-Francisco Lapote</t>
  </si>
  <si>
    <t>-Glecerio Lumancas</t>
  </si>
  <si>
    <t>-Gloria Salvacion</t>
  </si>
  <si>
    <t>-Gonsalo Dionson</t>
  </si>
  <si>
    <t>-Gregorio Galindes</t>
  </si>
  <si>
    <t>CIDP-Rehab. NRJ Bayobo NIA Access Rd</t>
  </si>
  <si>
    <t>JNK Medical Sales</t>
  </si>
  <si>
    <t>VINCARE Pharma</t>
  </si>
  <si>
    <t>-VTF Maintenance</t>
  </si>
  <si>
    <t>LGC TRUCKING &amp; CONST.(Rehab. Patin-ay-Lucac Rd)</t>
  </si>
  <si>
    <t>AGUSAN BUILDERS COOPERATIVE (ABCO) (Rehab. NRJ Sitio Unsayawon-Anilawan FMR))</t>
  </si>
  <si>
    <t>-Pagkain Ng Bayan (PNB)</t>
  </si>
  <si>
    <t>03/02/07 withdrawal</t>
  </si>
  <si>
    <t>03/02/07</t>
  </si>
  <si>
    <t>One Touch Compu.</t>
  </si>
  <si>
    <t>04/18/07</t>
  </si>
  <si>
    <t>-Constancia Yder</t>
  </si>
  <si>
    <t>-Constantino Granada</t>
  </si>
  <si>
    <t>Due from Officers and Employees</t>
  </si>
  <si>
    <t>123</t>
  </si>
  <si>
    <t xml:space="preserve">Loans Receivable - GOCCs </t>
  </si>
  <si>
    <t>124</t>
  </si>
  <si>
    <t xml:space="preserve">Loans Receivable - LGUs </t>
  </si>
  <si>
    <t>125</t>
  </si>
  <si>
    <t xml:space="preserve">Loans Receivable - Others </t>
  </si>
  <si>
    <t>126</t>
  </si>
  <si>
    <t>LGC TRUCKING CORPORATION( Rehab. Of NRJ Bayobo-NIA Access Rd,  Prosperidad, Agusan del Sur)</t>
  </si>
  <si>
    <t>RUTCHEL MORALES/ RJL CAKES &amp; PASTRIES</t>
  </si>
  <si>
    <t xml:space="preserve">Depreciation - Airport Equipment </t>
  </si>
  <si>
    <t>928</t>
  </si>
  <si>
    <t xml:space="preserve">Depreciation - Communication Equipment </t>
  </si>
  <si>
    <t>929</t>
  </si>
  <si>
    <t xml:space="preserve">Depreciation - Construction and Heavy Equipment </t>
  </si>
  <si>
    <t>930</t>
  </si>
  <si>
    <t xml:space="preserve">Depreciation - Firefighting Equipment and Accessories </t>
  </si>
  <si>
    <t>931</t>
  </si>
  <si>
    <t xml:space="preserve">Depreciation - Hospital Equipment </t>
  </si>
  <si>
    <t>932</t>
  </si>
  <si>
    <t xml:space="preserve">Depreciation - Medical, Dental and Laboratory Equipment </t>
  </si>
  <si>
    <t>933</t>
  </si>
  <si>
    <t xml:space="preserve">Depreciation - Military and Police Equipment </t>
  </si>
  <si>
    <t>934</t>
  </si>
  <si>
    <t xml:space="preserve">Depreciation - Sports Equipment </t>
  </si>
  <si>
    <t>935</t>
  </si>
  <si>
    <t xml:space="preserve">Depreciation - Technical and Scientific Equipment </t>
  </si>
  <si>
    <t>936</t>
  </si>
  <si>
    <t xml:space="preserve">Depreciation - Other Machineries and Equipment </t>
  </si>
  <si>
    <t>940</t>
  </si>
  <si>
    <t xml:space="preserve">Depreciation - Motor Vehicles </t>
  </si>
  <si>
    <t>941</t>
  </si>
  <si>
    <t xml:space="preserve">Depreciation - Trains </t>
  </si>
  <si>
    <t>942</t>
  </si>
  <si>
    <t xml:space="preserve">Depreciation - Aircraft and Aircraft Ground Equipment </t>
  </si>
  <si>
    <t>943</t>
  </si>
  <si>
    <t xml:space="preserve">Depreciation - Watercrafts </t>
  </si>
  <si>
    <t>944</t>
  </si>
  <si>
    <t xml:space="preserve">Depreciation - Other Transportation Equipment </t>
  </si>
  <si>
    <t>948</t>
  </si>
  <si>
    <t xml:space="preserve">Depreciation - Other Property, Plant and Equipment </t>
  </si>
  <si>
    <t>950</t>
  </si>
  <si>
    <t>Obsolescence - IT Software</t>
  </si>
  <si>
    <t>951</t>
  </si>
  <si>
    <t xml:space="preserve">Discount on Real Property Taxes </t>
  </si>
  <si>
    <t xml:space="preserve">Discount on Special Education Tax </t>
  </si>
  <si>
    <t xml:space="preserve">Loss from Tax Exemptions </t>
  </si>
  <si>
    <t>957</t>
  </si>
  <si>
    <t xml:space="preserve">Tax Refunds </t>
  </si>
  <si>
    <t>958</t>
  </si>
  <si>
    <t xml:space="preserve">Remittance to National Treasury from Assets Disposal </t>
  </si>
  <si>
    <t>959</t>
  </si>
  <si>
    <t xml:space="preserve">Loss of Assets </t>
  </si>
  <si>
    <t>961</t>
  </si>
  <si>
    <t xml:space="preserve">Loss on Guaranty </t>
  </si>
  <si>
    <t>962</t>
  </si>
  <si>
    <t xml:space="preserve">Other Maintenance and Operating Expenses </t>
  </si>
  <si>
    <t>969</t>
  </si>
  <si>
    <t xml:space="preserve">Bank Charges </t>
  </si>
  <si>
    <t>971</t>
  </si>
  <si>
    <t xml:space="preserve">Commitment Fees </t>
  </si>
  <si>
    <t>972</t>
  </si>
  <si>
    <t xml:space="preserve">Debt Service Subsidy to GOCCs </t>
  </si>
  <si>
    <t>973</t>
  </si>
  <si>
    <t xml:space="preserve">   Discount on RPT</t>
  </si>
  <si>
    <t xml:space="preserve">   Deferred RPT</t>
  </si>
  <si>
    <t>-Julian Cabangahan</t>
  </si>
  <si>
    <t>-Julito Galindes</t>
  </si>
  <si>
    <t xml:space="preserve">Cash in Bank - Local Currency, Savings Account </t>
  </si>
  <si>
    <t>Cash in Bank - Foreign Currency</t>
  </si>
  <si>
    <t>RECEIVABLES</t>
  </si>
  <si>
    <t>Receivable Accounts</t>
  </si>
  <si>
    <t>Advances to Officers &amp; Employees</t>
  </si>
  <si>
    <t>Inter-Agency Receivables</t>
  </si>
  <si>
    <t>Intra-Agency Receivables</t>
  </si>
  <si>
    <t>Other Receivables</t>
  </si>
  <si>
    <t>INVENTORIES</t>
  </si>
  <si>
    <t>Materials</t>
  </si>
  <si>
    <t>Supplies</t>
  </si>
  <si>
    <t>Agricultural, Fishery and Forestry Products</t>
  </si>
  <si>
    <t>PREPAYMENTS</t>
  </si>
  <si>
    <t>OTHER CURRENT ASSETS</t>
  </si>
  <si>
    <t>Total Current Assets</t>
  </si>
  <si>
    <t>INVESTMENTS</t>
  </si>
  <si>
    <t>INVESTMENT IN SECURITIES</t>
  </si>
  <si>
    <t>SINKING FUND</t>
  </si>
  <si>
    <t>Total Investments</t>
  </si>
  <si>
    <t>PROPERTY, PLANT AND EQUIPMENT</t>
  </si>
  <si>
    <t>LAND AND LAND IMPROVEMENTS</t>
  </si>
  <si>
    <t>Land Improvements (net)</t>
  </si>
  <si>
    <t>Runways/Taxiways (net)</t>
  </si>
  <si>
    <t>Railways (net)</t>
  </si>
  <si>
    <t>Electrification, Power and Energy Structures  (net)</t>
  </si>
  <si>
    <t>BUILDINGS</t>
  </si>
  <si>
    <t>Office Buildings (net)</t>
  </si>
  <si>
    <t>School Buildings (net)</t>
  </si>
  <si>
    <t>Hospitals and Health Centers (net)</t>
  </si>
  <si>
    <t>Markets and Slaughterhouses   (net)</t>
  </si>
  <si>
    <t>Other Structures    (net)</t>
  </si>
  <si>
    <t>LEASEHOLD IMPROVEMENTS</t>
  </si>
  <si>
    <t>Leasehold Improvements, Land (net)</t>
  </si>
  <si>
    <t>Leasehold Improvements, Buildings (net)</t>
  </si>
  <si>
    <t>Other Leasehold Improvements (net)</t>
  </si>
  <si>
    <t>OFFICE EQUIPMENT, FURNITURE AND FIXTURES</t>
  </si>
  <si>
    <t>Office Equipment (net)</t>
  </si>
  <si>
    <t>Furniture and Fixtures   (net)</t>
  </si>
  <si>
    <t>IT Equipment and Software  (net)</t>
  </si>
  <si>
    <t>Library Books  (net)</t>
  </si>
  <si>
    <t>MACHINERIES AND EQUIPMENT</t>
  </si>
  <si>
    <t>Machineries  (net)</t>
  </si>
  <si>
    <t>Agricultural, Fishery and Forestry Equipment   (net)</t>
  </si>
  <si>
    <t>Airport Equipment   (net)</t>
  </si>
  <si>
    <t>Communication Equipment   (net)</t>
  </si>
  <si>
    <t xml:space="preserve">   Accumulated Depreciation - Communication Equipment </t>
  </si>
  <si>
    <t>Construction and Heavy Equipment   (net)</t>
  </si>
  <si>
    <t>Firefighting Equipment and Accessories  (net)</t>
  </si>
  <si>
    <t>Hospital Equipment   (net)</t>
  </si>
  <si>
    <t>-Coredion Enad</t>
  </si>
  <si>
    <t>-Cornelio Oseco</t>
  </si>
  <si>
    <t>-Cresencia Lacano</t>
  </si>
  <si>
    <t>-Cresencio Nino</t>
  </si>
  <si>
    <t>-Crispulo Roa</t>
  </si>
  <si>
    <t>-Cristina Goloran</t>
  </si>
  <si>
    <t>111(36)</t>
  </si>
  <si>
    <t>-Pedro Barrientos</t>
  </si>
  <si>
    <t>-Pedro Cervantes</t>
  </si>
  <si>
    <t>-Perfecto Roa</t>
  </si>
  <si>
    <t>-Perla Bautista</t>
  </si>
  <si>
    <t>-Perlita Austria</t>
  </si>
  <si>
    <t>-Petronio Borja</t>
  </si>
  <si>
    <t>-Pio Gonzales</t>
  </si>
  <si>
    <t>-Policarpo Sulinay</t>
  </si>
  <si>
    <t>-Porferio Castro</t>
  </si>
  <si>
    <t>-Precilla Casa</t>
  </si>
  <si>
    <t>-Prescilla Tadena</t>
  </si>
  <si>
    <t>-Ramon de la Cruz</t>
  </si>
  <si>
    <t>-Raul Asis</t>
  </si>
  <si>
    <t>-Rebecca Dayot</t>
  </si>
  <si>
    <t>-Rebecca Villarez</t>
  </si>
  <si>
    <t>-Regina Rubio</t>
  </si>
  <si>
    <t>DOH-Purchase of Medical Equipment</t>
  </si>
  <si>
    <t>DOH-Service Level Agreement</t>
  </si>
  <si>
    <t>LGU Counterpart for Acquisition of New Microscope for People's Health Dev't Foundation</t>
  </si>
  <si>
    <t>RJJN Trapal Supply</t>
  </si>
  <si>
    <t>Insurance of Service Vehicle</t>
  </si>
  <si>
    <t>-Dafrosa Maring</t>
  </si>
  <si>
    <t>-Daniel Viajar</t>
  </si>
  <si>
    <t>-Delilah Rosales</t>
  </si>
  <si>
    <t>-Demetrio Jalop</t>
  </si>
  <si>
    <t>-Dolores Acampado</t>
  </si>
  <si>
    <t>-Dolores Campos</t>
  </si>
  <si>
    <t>-Dolores Otaza</t>
  </si>
  <si>
    <t>-Dominador Fernandez</t>
  </si>
  <si>
    <t>-Domingo Ginoo</t>
  </si>
  <si>
    <t>-Dorothy Zamudio</t>
  </si>
  <si>
    <t>-E. Dotillos</t>
  </si>
  <si>
    <t>-Eddie Ausa</t>
  </si>
  <si>
    <t>-Edith Granada</t>
  </si>
  <si>
    <t>-Eduardo Curato</t>
  </si>
  <si>
    <t>-Efren Quinto</t>
  </si>
  <si>
    <t>-Eladio Nadalo</t>
  </si>
  <si>
    <t>-Elesio Belen</t>
  </si>
  <si>
    <t>-Elias Coquilla</t>
  </si>
  <si>
    <t>-Elias Pulvera</t>
  </si>
  <si>
    <t>-Elisabeth Guay</t>
  </si>
  <si>
    <t>-Elizabeth Contadan</t>
  </si>
  <si>
    <t>-Elma Arrezo</t>
  </si>
  <si>
    <t>-Elpedio Salas</t>
  </si>
  <si>
    <t>-Elsidora Palaran</t>
  </si>
  <si>
    <t>-Elsie Ramos</t>
  </si>
  <si>
    <t>-Emelia Apura</t>
  </si>
  <si>
    <t>-Emelia Libor</t>
  </si>
  <si>
    <t>-Emeregencio Sarigumba</t>
  </si>
  <si>
    <t>-Emerenciana Ostos</t>
  </si>
  <si>
    <t>-Emilio Baladad</t>
  </si>
  <si>
    <t>-Emilio Salahay</t>
  </si>
  <si>
    <t>-Emmanuel Go</t>
  </si>
  <si>
    <t>-Encarnacion  Solloso</t>
  </si>
  <si>
    <t>-Enrique Lasquite</t>
  </si>
  <si>
    <t>-Epifanio Morales</t>
  </si>
  <si>
    <t>-Epifanio Prochina</t>
  </si>
  <si>
    <t>-Erlinda Porras</t>
  </si>
  <si>
    <t>Aircraft and Aircraft Ground Equipment (net)</t>
  </si>
  <si>
    <t>Watercrafts (net)</t>
  </si>
  <si>
    <t>Other Transportation Equipment  (net)</t>
  </si>
  <si>
    <t>OTHER PROPERTY, PLANT AND EQUIPMENT</t>
  </si>
  <si>
    <t>Other Property, Plant and Equipment   (net)</t>
  </si>
  <si>
    <t>PUBLIC INFRASTRUCTURES</t>
  </si>
  <si>
    <t>Roads, Highways and Bridges</t>
  </si>
  <si>
    <t>Artesian wells,Reservoirs, Pumping Stations and Conduits</t>
  </si>
  <si>
    <t>CONSTRUCTION IN PROGRESS</t>
  </si>
  <si>
    <t>Public Infrastructures/Reforestation Projects</t>
  </si>
  <si>
    <t>Other public infra</t>
  </si>
  <si>
    <t>Total Property, Plant and Equipment</t>
  </si>
  <si>
    <t>OTHER ASSETS</t>
  </si>
  <si>
    <t>Total Other Assets</t>
  </si>
  <si>
    <t>TOTAL ASSETS</t>
  </si>
  <si>
    <t>LIABILITIES</t>
  </si>
  <si>
    <t>CURRENT LIABILITIES</t>
  </si>
  <si>
    <t>Payable Accounts</t>
  </si>
  <si>
    <t>Inter-Agency Payables</t>
  </si>
  <si>
    <t>Intra-Agency Payables</t>
  </si>
  <si>
    <t>Other Liability Accounts</t>
  </si>
  <si>
    <t>Total Current Liabilities</t>
  </si>
  <si>
    <t>LONG-TERM LIABILITIES</t>
  </si>
  <si>
    <t>Mortgage/Bonds/Loans Payable</t>
  </si>
  <si>
    <t>Total Long-Term Liabilities</t>
  </si>
  <si>
    <t>TOTAL LIABILITIES</t>
  </si>
  <si>
    <t>DEFERRED CREDITS</t>
  </si>
  <si>
    <t>Total Deferred Credits</t>
  </si>
  <si>
    <t>EQUITY</t>
  </si>
  <si>
    <t>TOTAL LIABILITIES AND EQUITY</t>
  </si>
  <si>
    <t>Please verify if not 0</t>
  </si>
  <si>
    <t>JEV# 301-09-10-2008.JNK MEDICAL SALES -PHRTF-PO#1363-09-DC</t>
  </si>
  <si>
    <t>JEV# 301-09-10-2010.ZUELLIG PHARMA CORPORATION -PHRTF-PO#1271-09-DC</t>
  </si>
  <si>
    <t>dated 04/14/09-OR#81108 dated 10/29/09</t>
  </si>
  <si>
    <t>Mc Jones Elect. Ent.</t>
  </si>
  <si>
    <t>Mckline Industry</t>
  </si>
  <si>
    <t>MFCS Enterprises</t>
  </si>
  <si>
    <t>Office Equipment, Furniture and Fixtures</t>
  </si>
  <si>
    <t>JEV# 301-09-07-1289.UNITED LABORATORIES. -PHRTF-PO#0522-09-DC</t>
  </si>
  <si>
    <t>dated 02/17/09-O.R.#1256826 dated 07/22/09</t>
  </si>
  <si>
    <t>JEV# 301-09-07-1292.GETZ BROS. PHIL. INC.. -PHRTF-PO#5619-08-DC</t>
  </si>
  <si>
    <t>dated 12/04/08-O.R.#333857 dated 07/09/09</t>
  </si>
  <si>
    <t>JEV# 301-09-07-1293.EURO MED LABORATORIES. -PHRTF-PO#5620-08-DC</t>
  </si>
  <si>
    <t>dated 12/04/09-O.R.#128873 dated 07/24/09</t>
  </si>
  <si>
    <t>JEV# 301-09-07-1282.JNK MEDICAL SALES. -PHRTF-PO#2207-09-DC</t>
  </si>
  <si>
    <t xml:space="preserve">    Credit Balance</t>
  </si>
  <si>
    <t>Leasehold Improvements</t>
  </si>
  <si>
    <t>Office Equipment, Furnitures and Fixtures</t>
  </si>
  <si>
    <t>Machineries and Equipment</t>
  </si>
  <si>
    <t>Transportation Equipment</t>
  </si>
  <si>
    <t>Other Property, Plant and Equipment</t>
  </si>
  <si>
    <t>Public Infrastructures</t>
  </si>
  <si>
    <t>Reforestation Projects</t>
  </si>
  <si>
    <t>Confidential, Intelligence, Extraordinary and Miscellaneous Expenses</t>
  </si>
  <si>
    <t>Taxes, Insurance Premiums and Other Fees</t>
  </si>
  <si>
    <t>Non-Cash Expenses</t>
  </si>
  <si>
    <t>Depreciation</t>
  </si>
  <si>
    <t xml:space="preserve">Gain/Loss on Sale of Disposed Assets </t>
  </si>
  <si>
    <t>682</t>
  </si>
  <si>
    <t xml:space="preserve">Gain/Loss on Sale of Securities </t>
  </si>
  <si>
    <t>683</t>
  </si>
  <si>
    <t xml:space="preserve">Prior Years' Adjustments </t>
  </si>
  <si>
    <t>684</t>
  </si>
  <si>
    <t xml:space="preserve">Salaries and Wages - Regular </t>
  </si>
  <si>
    <t>701</t>
  </si>
  <si>
    <t>608</t>
  </si>
  <si>
    <t xml:space="preserve">Fines and Penalties - Permits and Licenses </t>
  </si>
  <si>
    <t>609</t>
  </si>
  <si>
    <t xml:space="preserve">Affiliation Fees </t>
  </si>
  <si>
    <t>611</t>
  </si>
  <si>
    <t xml:space="preserve">Athletic and Cultural Fees </t>
  </si>
  <si>
    <t>612</t>
  </si>
  <si>
    <t xml:space="preserve">Clearance and Certification Fees </t>
  </si>
  <si>
    <t>613</t>
  </si>
  <si>
    <t xml:space="preserve">Comprehensive Examination Fees </t>
  </si>
  <si>
    <t>614</t>
  </si>
  <si>
    <t xml:space="preserve">Diploma and Graduation Fees </t>
  </si>
  <si>
    <t>615</t>
  </si>
  <si>
    <t xml:space="preserve">Garbage Fees </t>
  </si>
  <si>
    <t>616</t>
  </si>
  <si>
    <t xml:space="preserve">Inspection Fees </t>
  </si>
  <si>
    <t>617</t>
  </si>
  <si>
    <t xml:space="preserve">Library Fees </t>
  </si>
  <si>
    <t>dated 09/24/09-OR#81111 dated 10/29/09</t>
  </si>
  <si>
    <t>Other Compensation</t>
  </si>
  <si>
    <t>Personnel Benefits Contribution</t>
  </si>
  <si>
    <t>Other Personnel Benefits</t>
  </si>
  <si>
    <t>MAINTENANCE AND OTHER OPERATING EXPENSES</t>
  </si>
  <si>
    <t>Traveling Expenses</t>
  </si>
  <si>
    <t>Training and Scholarship Expenses</t>
  </si>
  <si>
    <t>Supplies and Materials Expenses</t>
  </si>
  <si>
    <t>Utility Expenses</t>
  </si>
  <si>
    <t>Communication Expenses</t>
  </si>
  <si>
    <t>Professional Services</t>
  </si>
  <si>
    <t>Repairs and Maintenance</t>
  </si>
  <si>
    <t>Buildings</t>
  </si>
  <si>
    <t>Green Agro Poultry Supply</t>
  </si>
  <si>
    <t>671</t>
  </si>
  <si>
    <t xml:space="preserve">Miscellaneous Income </t>
  </si>
  <si>
    <t>678</t>
  </si>
  <si>
    <t xml:space="preserve">Other Fines and Penalties </t>
  </si>
  <si>
    <t>679</t>
  </si>
  <si>
    <t>Jeneth Lastimosa</t>
  </si>
  <si>
    <t>Jorge Olaer</t>
  </si>
  <si>
    <t>Joris Elevazo</t>
  </si>
  <si>
    <t>Josefina Bajade</t>
  </si>
  <si>
    <t>Josefina. Lastimado</t>
  </si>
  <si>
    <t>Lorela Duterte</t>
  </si>
  <si>
    <t>Lourdes Antiga</t>
  </si>
  <si>
    <t>Lourdes Edulan</t>
  </si>
  <si>
    <t>Lourdes Mondejar</t>
  </si>
  <si>
    <t>WOW Caraga</t>
  </si>
  <si>
    <t>Mercedita Palad</t>
  </si>
  <si>
    <t>Michael Joseph  Santos-</t>
  </si>
  <si>
    <t>Maguinda Cadeliña</t>
  </si>
  <si>
    <t>Maximo Gegato</t>
  </si>
  <si>
    <t>Milagros Torrefranca</t>
  </si>
  <si>
    <t>Mirazel Bantugan</t>
  </si>
  <si>
    <t>Nanette Cabanos</t>
  </si>
  <si>
    <t>Nestor Regañon-</t>
  </si>
  <si>
    <t>Orestes Costebolo</t>
  </si>
  <si>
    <t>Allot. for Patin-ay Road Net Work</t>
  </si>
  <si>
    <t>AREA HEALTH ZONE</t>
  </si>
  <si>
    <t>ARSP- San Roque</t>
  </si>
  <si>
    <t>Fund Release</t>
  </si>
  <si>
    <t>Assis. Evacuess to the Mun. of Esperanza</t>
  </si>
  <si>
    <t>12/18/09</t>
  </si>
  <si>
    <t>Assistance from Senator Lacson</t>
  </si>
  <si>
    <t>Less: Cash Adv.</t>
  </si>
  <si>
    <t>BDH Financial Assistance from Cong. Plaza</t>
  </si>
  <si>
    <t>Binhian - DA</t>
  </si>
  <si>
    <t>BWSA-DPWH</t>
  </si>
  <si>
    <t xml:space="preserve">Overdraft </t>
  </si>
  <si>
    <t>As of 12/08</t>
  </si>
  <si>
    <t>BNS</t>
  </si>
  <si>
    <t>note</t>
  </si>
  <si>
    <t>CDF  PRIORITY PROJECTS</t>
  </si>
  <si>
    <t xml:space="preserve">Gain/Loss on Foreign Exchange (FOREX) </t>
  </si>
  <si>
    <t>681</t>
  </si>
  <si>
    <t>E.P. MANANTAN</t>
  </si>
  <si>
    <t>Eastern  Rose Printers</t>
  </si>
  <si>
    <t>EJC Video Center</t>
  </si>
  <si>
    <t>EMCOR</t>
  </si>
  <si>
    <t>Emmanuel Aclan</t>
  </si>
  <si>
    <t>Engineering &amp; Services Traders</t>
  </si>
  <si>
    <t>Esphar Medical Center</t>
  </si>
  <si>
    <t>Euro-Med Laboratory Phils.</t>
  </si>
  <si>
    <t>MERLITA B. DAGAMAC - reimb of travelling expenses</t>
  </si>
  <si>
    <t xml:space="preserve">   Accumulated Depreciation - Runways/Taxiways </t>
  </si>
  <si>
    <t xml:space="preserve">Railways </t>
  </si>
  <si>
    <t xml:space="preserve">   Accumulated Depreciation - Railways </t>
  </si>
  <si>
    <t xml:space="preserve">Electrification, Power and Energy Structures </t>
  </si>
  <si>
    <t xml:space="preserve">Salaries and Wages - Military/Uniformed </t>
  </si>
  <si>
    <t>702</t>
  </si>
  <si>
    <t xml:space="preserve">Salaries and Wages - Part-time </t>
  </si>
  <si>
    <t>703</t>
  </si>
  <si>
    <t xml:space="preserve">Salaries and Wages - Substitute </t>
  </si>
  <si>
    <t>704</t>
  </si>
  <si>
    <t xml:space="preserve">Salaries and Wages - Casual </t>
  </si>
  <si>
    <t>705</t>
  </si>
  <si>
    <t xml:space="preserve">Salaries and Wages - Contractual </t>
  </si>
  <si>
    <t>706</t>
  </si>
  <si>
    <t xml:space="preserve">Salaries and Wages - Emergency </t>
  </si>
  <si>
    <t>707</t>
  </si>
  <si>
    <t xml:space="preserve">Personnel Economic Relief Allowance ( PERA) </t>
  </si>
  <si>
    <t>711</t>
  </si>
  <si>
    <t>(40)LBP</t>
  </si>
  <si>
    <t>DA-VAIP GMAP Villa Undayon-New Salem FMR</t>
  </si>
  <si>
    <t>DA-VAIP GMAP-ALEGRIA</t>
  </si>
  <si>
    <t>-PCSO Funds</t>
  </si>
  <si>
    <t>(4) LBP</t>
  </si>
  <si>
    <t>-UNDP</t>
  </si>
  <si>
    <t>(5) LBP</t>
  </si>
  <si>
    <t>-LDAP-RPT</t>
  </si>
  <si>
    <t>(7) LBP</t>
  </si>
  <si>
    <t>-PREMIUMED RPTA MDP 3</t>
  </si>
  <si>
    <t>(8) LBP</t>
  </si>
  <si>
    <t>-LPP</t>
  </si>
  <si>
    <t>(9) LBP</t>
  </si>
  <si>
    <t>-LBP Trust Fund Proper</t>
  </si>
  <si>
    <t>(10) LBP</t>
  </si>
  <si>
    <t>-President's Social Fund</t>
  </si>
  <si>
    <t xml:space="preserve">Aircraft and Aircraft Ground Equipment  </t>
  </si>
  <si>
    <t>243</t>
  </si>
  <si>
    <t xml:space="preserve">   Accumulated Depreciation - Aircraft and Aircraft Ground Equipment </t>
  </si>
  <si>
    <t>343</t>
  </si>
  <si>
    <t xml:space="preserve">Watercrafts </t>
  </si>
  <si>
    <t>244</t>
  </si>
  <si>
    <t xml:space="preserve">   Accumulated Depreciation - Watercrafts </t>
  </si>
  <si>
    <t>344</t>
  </si>
  <si>
    <t xml:space="preserve">Other Transportation Equipment </t>
  </si>
  <si>
    <t xml:space="preserve">Passport and Visa Fees </t>
  </si>
  <si>
    <t>620</t>
  </si>
  <si>
    <t xml:space="preserve">balance </t>
  </si>
  <si>
    <t xml:space="preserve">Transportation and Delivery Expenses </t>
  </si>
  <si>
    <t>784</t>
  </si>
  <si>
    <t xml:space="preserve">Storage Expenses </t>
  </si>
  <si>
    <t>785</t>
  </si>
  <si>
    <t xml:space="preserve">Subscriptions Expenses </t>
  </si>
  <si>
    <t>786</t>
  </si>
  <si>
    <t xml:space="preserve">Survey Expenses </t>
  </si>
  <si>
    <t>787</t>
  </si>
  <si>
    <t xml:space="preserve">Rewards and Other Claims </t>
  </si>
  <si>
    <t>788</t>
  </si>
  <si>
    <t xml:space="preserve">Legal Services </t>
  </si>
  <si>
    <t>791</t>
  </si>
  <si>
    <t xml:space="preserve">Auditing Services </t>
  </si>
  <si>
    <t>792</t>
  </si>
  <si>
    <t xml:space="preserve">Consultancy Services </t>
  </si>
  <si>
    <t>793</t>
  </si>
  <si>
    <t xml:space="preserve">Environment/Sanitary Services </t>
  </si>
  <si>
    <t>794</t>
  </si>
  <si>
    <t>LGC TRUCKING &amp; CONST.,  SELAP AGUINALDO</t>
  </si>
  <si>
    <t>Schedule 13- 427 PERFORMANCE/BIDDERS/BAIL BOND PAYABLE</t>
  </si>
  <si>
    <t>5 J's Hardware</t>
  </si>
  <si>
    <t>68th Auto Supply</t>
  </si>
  <si>
    <t>A &amp; F Photographic Printing</t>
  </si>
  <si>
    <t>A &amp; M Commercial</t>
  </si>
  <si>
    <t>ADELSAA</t>
  </si>
  <si>
    <t>ALMARLI  Construction</t>
  </si>
  <si>
    <t>Apollo Medical Equipment</t>
  </si>
  <si>
    <t>ARREZA GEN. MDSE</t>
  </si>
  <si>
    <t>Arthur Garay</t>
  </si>
  <si>
    <t>Atlanta Industries Inc.</t>
  </si>
  <si>
    <t>Atlas  farm supply</t>
  </si>
  <si>
    <t>Atrio Enterprises</t>
  </si>
  <si>
    <t>Basic Agri Industry</t>
  </si>
  <si>
    <t>Better Components</t>
  </si>
  <si>
    <t>Betty's School &amp; Office Supply</t>
  </si>
  <si>
    <t>Bormaheco</t>
  </si>
  <si>
    <t>Bureau of Internal Revenue</t>
  </si>
  <si>
    <t>Butuan  Champion Hardware</t>
  </si>
  <si>
    <t>MAYGATAS</t>
  </si>
  <si>
    <t>Butuan AVP Mktg.</t>
  </si>
  <si>
    <t>Tourism Master Plan Project</t>
  </si>
  <si>
    <t>Environmental Tax</t>
  </si>
  <si>
    <t>SLRF MVUC Illumination</t>
  </si>
  <si>
    <t>Agusan Builders Coop. (ABCO)</t>
  </si>
  <si>
    <t>MedMate Trading</t>
  </si>
  <si>
    <t>-Dakutan Bag (ASERBAC)</t>
  </si>
  <si>
    <t>-Hall Rental</t>
  </si>
  <si>
    <t>-EMCH Esperanza (Revolving Fund)</t>
  </si>
  <si>
    <t>MILDA C. GASATAN</t>
  </si>
  <si>
    <t>Arnold Calang</t>
  </si>
  <si>
    <t>Francisco Cejuela</t>
  </si>
  <si>
    <t>CDF-DSWD CIDSS</t>
  </si>
  <si>
    <t xml:space="preserve">Membership Dues and Contributions to Organizations </t>
  </si>
  <si>
    <t>778</t>
  </si>
  <si>
    <t xml:space="preserve">Due to PAG-IBIG </t>
  </si>
  <si>
    <t>414</t>
  </si>
  <si>
    <t xml:space="preserve">Due to PHILHEALTH </t>
  </si>
  <si>
    <t>415</t>
  </si>
  <si>
    <t xml:space="preserve">Due to Other NGAs </t>
  </si>
  <si>
    <t>416</t>
  </si>
  <si>
    <t xml:space="preserve">Due to Other GOCCs </t>
  </si>
  <si>
    <t>417</t>
  </si>
  <si>
    <t>Suzette Deloso Panganoron</t>
  </si>
  <si>
    <t>ACT FOR PEACE PROGRAM(Life Skills Education Training)</t>
  </si>
  <si>
    <t>CIDP-Anislagan Juction-P3 FMR</t>
  </si>
  <si>
    <t>CIDP-San Jose-Sayon FMR</t>
  </si>
  <si>
    <t>CIDP-Sition Unsayawon-Anilawan FMR</t>
  </si>
  <si>
    <t>-Digitized Maps</t>
  </si>
  <si>
    <t>Lydia Tui, cash advance</t>
  </si>
  <si>
    <t>Schedule 11-424-DUE TO OTHER FUNDS/BOOKS</t>
  </si>
  <si>
    <t>418</t>
  </si>
  <si>
    <t xml:space="preserve">Due to Other Funds </t>
  </si>
  <si>
    <t>424</t>
  </si>
  <si>
    <t xml:space="preserve">Guaranty Deposits Payable </t>
  </si>
  <si>
    <t>426</t>
  </si>
  <si>
    <t xml:space="preserve">Performance/Bidders/Bail Bonds Payable </t>
  </si>
  <si>
    <t>427</t>
  </si>
  <si>
    <t xml:space="preserve">Currency Swap Payable </t>
  </si>
  <si>
    <t>428</t>
  </si>
  <si>
    <t xml:space="preserve">Tax Refunds Payable </t>
  </si>
  <si>
    <t>429</t>
  </si>
  <si>
    <t xml:space="preserve">Other Payables </t>
  </si>
  <si>
    <t>439</t>
  </si>
  <si>
    <t xml:space="preserve">Mortgage Payable </t>
  </si>
  <si>
    <t>441</t>
  </si>
  <si>
    <t xml:space="preserve">Bonds Payable - Domestic </t>
  </si>
  <si>
    <t>442</t>
  </si>
  <si>
    <t xml:space="preserve">Bonds Payable - Foreign </t>
  </si>
  <si>
    <t>443</t>
  </si>
  <si>
    <t xml:space="preserve">Loans Payable - Domestic </t>
  </si>
  <si>
    <t>444</t>
  </si>
  <si>
    <t xml:space="preserve">Loans Payable - Foreign </t>
  </si>
  <si>
    <t>445</t>
  </si>
  <si>
    <t xml:space="preserve">Other Long - Term Liabilities </t>
  </si>
  <si>
    <t>450</t>
  </si>
  <si>
    <t>SELAP-ABACA Dev't Program 2008</t>
  </si>
  <si>
    <t>SELAP-BAKAS</t>
  </si>
  <si>
    <t>SELAP-BUGAS</t>
  </si>
  <si>
    <t>SELAP-DACUTAN</t>
  </si>
  <si>
    <t>Nestor Betaizar</t>
  </si>
  <si>
    <t>Nestor Llido</t>
  </si>
  <si>
    <t>Niceto Ranario</t>
  </si>
  <si>
    <t>Nilo Espiso-RW3SP</t>
  </si>
  <si>
    <t>Nuymie Nuyad</t>
  </si>
  <si>
    <t>Oscar Cañon</t>
  </si>
  <si>
    <t>Panfilo Cortez</t>
  </si>
  <si>
    <t>Patricio Capa-PSF</t>
  </si>
  <si>
    <t>Raben Granath Lozada-RW3SP</t>
  </si>
  <si>
    <t>Ramel Salazar</t>
  </si>
  <si>
    <t>Renato Sombrio</t>
  </si>
  <si>
    <t>Roberto Natividad</t>
  </si>
  <si>
    <t>Rodolfo Ranario-RW3SP</t>
  </si>
  <si>
    <t>Romeo Macheca</t>
  </si>
  <si>
    <t>Ryan Cotapte-ICHP</t>
  </si>
  <si>
    <t>Sixto Manlantao</t>
  </si>
  <si>
    <t>SELAP-Banana Production 2008</t>
  </si>
  <si>
    <t>SELAP-Provision of Pre &amp; Post Harvest Facilities 2008</t>
  </si>
  <si>
    <t>SELAP-FARM  EQUIPMENT</t>
  </si>
  <si>
    <t>SELAP-GOAT MUTIPLIER</t>
  </si>
  <si>
    <t>SELAP-GOAT PROGRAM</t>
  </si>
  <si>
    <t>SELAP-FARM  TRACTOR</t>
  </si>
  <si>
    <t>SELAP-ISDA</t>
  </si>
  <si>
    <t>SELAP-ORGANIC</t>
  </si>
  <si>
    <t>SELAP-Prov'l Swine Upgrading Program 2008</t>
  </si>
  <si>
    <t>SELAP-Rehab. Of del Monte-Katipunan</t>
  </si>
  <si>
    <t>SELAP-PRUTAS</t>
  </si>
  <si>
    <t>SELAP-RUBBER DEVLOPMENT</t>
  </si>
  <si>
    <t>SELAP-RUBBER NURSERY</t>
  </si>
  <si>
    <t>SELAP-Rubber Production Program 2008</t>
  </si>
  <si>
    <t>SELAP-VEGETABLE</t>
  </si>
  <si>
    <t>SELAP-SPILLWAY PROSPERIDAD</t>
  </si>
  <si>
    <t>Taxmapping</t>
  </si>
  <si>
    <t>Terminal Leave Benefit</t>
  </si>
  <si>
    <t>TINA's Project from Sen. Juan Miguel Subiri</t>
  </si>
  <si>
    <t>UNICEF</t>
  </si>
  <si>
    <t>111(37)</t>
  </si>
  <si>
    <t>DOE-XU ANEC</t>
  </si>
  <si>
    <t>DOH - Health Workers</t>
  </si>
  <si>
    <t>DOH- EMCH(HSRA)</t>
  </si>
  <si>
    <t>DOH-Barangay Health Worker</t>
  </si>
  <si>
    <t>for refundfromMitshobisahi</t>
  </si>
  <si>
    <t>DOH-BDH financial assistance for Health Zone</t>
  </si>
  <si>
    <t>DOH-BHW</t>
  </si>
  <si>
    <t>DOH-BHW -OR# 9371125 dated 6/10/05</t>
  </si>
  <si>
    <t>DOH-Caraga---Medical Assis.to Indigents</t>
  </si>
  <si>
    <t>LGU Counterpart to Center Island Electrification(Prosperidad)</t>
  </si>
  <si>
    <t>LGU  Counterpart to ECCD-DSWD</t>
  </si>
  <si>
    <t>LGU Counterpart to  Electrification Project</t>
  </si>
  <si>
    <t>LGU Counterpart to JPIC-IDC</t>
  </si>
  <si>
    <t>LGU Counterpart  to LAPAZ &amp; LORETO Boundary Conflict</t>
  </si>
  <si>
    <t>DSWD - Assistance</t>
  </si>
  <si>
    <t>ENR-SECAL</t>
  </si>
  <si>
    <t>DOH-Health Zone(ILHZ)</t>
  </si>
  <si>
    <t>Integrated CRBI Projects</t>
  </si>
  <si>
    <t xml:space="preserve">KABISIG Program </t>
  </si>
  <si>
    <t>LGU Sibagat Counterpart to Fund Health Bldg .</t>
  </si>
  <si>
    <t>LGU Counterpart to PVBDS</t>
  </si>
  <si>
    <t>(38)LBP</t>
  </si>
  <si>
    <t>-MRDP LP</t>
  </si>
  <si>
    <t>-MRDP GOP</t>
  </si>
  <si>
    <t>(39)LBP</t>
  </si>
  <si>
    <t>MRDP LP</t>
  </si>
  <si>
    <t>MRDP GOP</t>
  </si>
  <si>
    <t>-Child Minding Center</t>
  </si>
  <si>
    <t>ANNA LIZA AMAMA-ID</t>
  </si>
  <si>
    <t>JOEMARK OSTOS</t>
  </si>
  <si>
    <t>NOVELYN D. ARCHE</t>
  </si>
  <si>
    <t>(17,633.18 - NRJ San Martin-Maasin 30,400.00)</t>
  </si>
  <si>
    <t xml:space="preserve">Other Bonuses and Allowances </t>
  </si>
  <si>
    <t>719</t>
  </si>
  <si>
    <t>w/drawn 2/3/2011</t>
  </si>
  <si>
    <t xml:space="preserve">Livestock Inventory </t>
  </si>
  <si>
    <t>169</t>
  </si>
  <si>
    <t xml:space="preserve">Crops and Fruits Inventory </t>
  </si>
  <si>
    <t>170</t>
  </si>
  <si>
    <t xml:space="preserve">Other Agricultural, Fishery and Forestry Products Inventory </t>
  </si>
  <si>
    <t>176</t>
  </si>
  <si>
    <t xml:space="preserve">Prepaid Rent </t>
  </si>
  <si>
    <t>177</t>
  </si>
  <si>
    <t>Prepaid Insurance</t>
  </si>
  <si>
    <t xml:space="preserve">Prepaid Interest </t>
  </si>
  <si>
    <t xml:space="preserve">Deposit on Letters of Credit </t>
  </si>
  <si>
    <t xml:space="preserve">Advances to Contractors </t>
  </si>
  <si>
    <t xml:space="preserve">Deferred Charges </t>
  </si>
  <si>
    <t xml:space="preserve">Other Prepaid Expenses </t>
  </si>
  <si>
    <t xml:space="preserve">Guaranty Deposits </t>
  </si>
  <si>
    <t>186</t>
  </si>
  <si>
    <t xml:space="preserve">Other Current Assets </t>
  </si>
  <si>
    <t>189</t>
  </si>
  <si>
    <t xml:space="preserve">Investments in Treasury Bills </t>
  </si>
  <si>
    <t>191</t>
  </si>
  <si>
    <t xml:space="preserve">Investments in Stocks </t>
  </si>
  <si>
    <t>192</t>
  </si>
  <si>
    <t xml:space="preserve">Investments in Bonds </t>
  </si>
  <si>
    <t>193</t>
  </si>
  <si>
    <t xml:space="preserve">Other Investments and Marketable Securities </t>
  </si>
  <si>
    <t>197</t>
  </si>
  <si>
    <t xml:space="preserve">Sinking Fund </t>
  </si>
  <si>
    <t>198</t>
  </si>
  <si>
    <t>Land</t>
  </si>
  <si>
    <t>Land Improvements</t>
  </si>
  <si>
    <t xml:space="preserve">   Accumulated Depreciation – Land Improvements</t>
  </si>
  <si>
    <t xml:space="preserve">Runways/Taxiways </t>
  </si>
  <si>
    <t>dated 11/04/08-OR.#763180 dated 08/20/09</t>
  </si>
  <si>
    <t>JEV# 301-09-08-1481.ZUELLIG PHARMA CORPORATION -PHRTF-PO#5621-08-DC</t>
  </si>
  <si>
    <t>dated 12/04/08-OR.#78661 dated 08/19/09</t>
  </si>
  <si>
    <t>JEV# 301-09-08-1489.ZUELLIG PHARMA CORPORATION -PHRTF-PO#1273-09-DC</t>
  </si>
  <si>
    <t>dated 04/14/09-OR.#78660 dated 08/19/09</t>
  </si>
  <si>
    <t>JEV# 301-09-08-1490.ZUELLIG PHARMA CORPORATION -PHRTF-PO#1072-09-DC</t>
  </si>
  <si>
    <t>dated 03/24/09-OR.#73183 dated 08/17/09</t>
  </si>
  <si>
    <t>JEV# 301-09-08-1491.ZUELLIG PHARMA CORPORATION -PHRTF-PO#1174-09-DC</t>
  </si>
  <si>
    <t>dated 04/02/09-OR.#73182 dated 08/17/09</t>
  </si>
  <si>
    <t>JEV# 301-09-08-1492. METRO DRUG, INC-PHRTF-PO#0626-09-DC</t>
  </si>
  <si>
    <t>dated 02/24/09-OR.#763181 dated 08/20/09</t>
  </si>
  <si>
    <t>JEV# 301-09-08-1493.ZUELLIG PHARMA CORPORATION -PHRTF-PO#1011-09-DC</t>
  </si>
  <si>
    <t>CIDP Const. Lumbia-Dakong Napo, Esperanza, ADS</t>
  </si>
  <si>
    <t>CIDP Const. of San Jose-Sayon, Sta. Josefa, ADS</t>
  </si>
  <si>
    <t>CIDP Const. of Patin-ay-Lucac FMR, Prosperidad, ADS</t>
  </si>
  <si>
    <t>CIDP Const. of San Isidro Rd, Esperanza, ADS</t>
  </si>
  <si>
    <t>CIDP Rehab. NRJ Labnig-Anilawan, Unsayawon, Talacogon, ADS</t>
  </si>
  <si>
    <t>MINSSAD Jumbo Bridge</t>
  </si>
  <si>
    <t>KIMSON Commercial</t>
  </si>
  <si>
    <t>-VTF REForestation</t>
  </si>
  <si>
    <t xml:space="preserve">Textbooks and Instructional Materials Inventory </t>
  </si>
  <si>
    <t>163</t>
  </si>
  <si>
    <t xml:space="preserve">Military and Police Supplies Inventory </t>
  </si>
  <si>
    <t>164</t>
  </si>
  <si>
    <t>301-10-07-1046</t>
  </si>
  <si>
    <t>301-10-07-1116</t>
  </si>
  <si>
    <t>301-10-07-1117</t>
  </si>
  <si>
    <t>301-10-07-1119</t>
  </si>
  <si>
    <t>301-10-07-1121</t>
  </si>
  <si>
    <t>301-10-07-1156</t>
  </si>
  <si>
    <t>301-10-07-1161</t>
  </si>
  <si>
    <t>301-10-07-1061</t>
  </si>
  <si>
    <t>TRUST  FUND</t>
  </si>
  <si>
    <t>Republic of the Philippines</t>
  </si>
  <si>
    <t>PROVINCE OF AGUSAN DEL SUR</t>
  </si>
  <si>
    <t>Gov. Democrito O. Plaza Government Center, Prosperidad</t>
  </si>
  <si>
    <t>GENERAL FUND PROPER</t>
  </si>
  <si>
    <t xml:space="preserve"> TRIAL BALANCE</t>
  </si>
  <si>
    <t>Account Title</t>
  </si>
  <si>
    <t>Account Code</t>
  </si>
  <si>
    <t>Total</t>
  </si>
  <si>
    <t>GENERAL FUND</t>
  </si>
  <si>
    <t>Debit</t>
  </si>
  <si>
    <t>Credit</t>
  </si>
  <si>
    <t>Debit Totals</t>
  </si>
  <si>
    <t>Credit Totals</t>
  </si>
  <si>
    <t xml:space="preserve">Cash in Vault </t>
  </si>
  <si>
    <t>Cash - Collecting Officers</t>
  </si>
  <si>
    <t>102</t>
  </si>
  <si>
    <t>Cash Disbursing Officers</t>
  </si>
  <si>
    <t>103</t>
  </si>
  <si>
    <t>Petty Cash Fund</t>
  </si>
  <si>
    <t>104</t>
  </si>
  <si>
    <t>Payroll Fund</t>
  </si>
  <si>
    <t>106</t>
  </si>
  <si>
    <t xml:space="preserve">JEV# 301-09-02-0335.UNITED LABORATORIES, INC.-PHRTF-P.O.# 5106-08-DC </t>
  </si>
  <si>
    <t>dated 11/04/08-O.R.# 1256099 dated 01/27/09</t>
  </si>
  <si>
    <t xml:space="preserve">JEV# 301-09-02-0336.EURO-MED LABORATORIES, INC.-PHRTF-P.O.# 3513-08-DC </t>
  </si>
  <si>
    <t>dated 17/28/08-O.R.# 126535 dated 02/12/09</t>
  </si>
  <si>
    <t>JEV# 301-09-04-0621.HARJENS TRADE CENTER.-LHSD-P.O.# 0829-09-SH</t>
  </si>
  <si>
    <t>dated 3/05/09-O.R.# 0042 dated 5/4/09</t>
  </si>
  <si>
    <t>JEV# 301-09-04-0622.HARJENS TRADE CENTER.-LHSD-P.O.# 1057-09-SH</t>
  </si>
  <si>
    <t>dated 3/23/09-O.R.# 0041 dated 5/4/09</t>
  </si>
  <si>
    <t>PCSO</t>
  </si>
  <si>
    <t>Peace &amp; Order Assistance</t>
  </si>
  <si>
    <t>Phil. Rice Research Institute</t>
  </si>
  <si>
    <t>-Anacleto Langano</t>
  </si>
  <si>
    <t>-Anaclito Caga</t>
  </si>
  <si>
    <t>-Anaclito Frasco</t>
  </si>
  <si>
    <t>-Andres Oraiz</t>
  </si>
  <si>
    <t>-Andriano Lastimosa</t>
  </si>
  <si>
    <t>-Angelito Nalam</t>
  </si>
  <si>
    <t>-Anita Lalamunan</t>
  </si>
  <si>
    <t>-Antonio Maturan</t>
  </si>
  <si>
    <t>-Antonio Saranza</t>
  </si>
  <si>
    <t>DOH-Health Sector Reform Agenda-Start Up Fund</t>
  </si>
  <si>
    <t>V- 1/2/06</t>
  </si>
  <si>
    <t>DOH-HSRA</t>
  </si>
  <si>
    <t>DOH-LHSD</t>
  </si>
  <si>
    <t xml:space="preserve">Depreciation - Hospitals and Health Centers </t>
  </si>
  <si>
    <t>913</t>
  </si>
  <si>
    <t xml:space="preserve">Depreciation - Markets and Slaughterhouses </t>
  </si>
  <si>
    <t>914</t>
  </si>
  <si>
    <t>-Clita Maligmat</t>
  </si>
  <si>
    <t>-Conrado Tapales</t>
  </si>
  <si>
    <t>DOPMH -LHS for Medical equipment</t>
  </si>
  <si>
    <t>DPWH-SPECIAL  LOCAL ROADS FUND-MVUC</t>
  </si>
  <si>
    <t>DPWH-VARIOUS INFRAST INCLUDING LOCAL PROJECTS-MAGSASAY</t>
  </si>
  <si>
    <t>KKK</t>
  </si>
  <si>
    <t>Saving Account 112</t>
  </si>
  <si>
    <t>KALAHI PROGRAM</t>
  </si>
  <si>
    <t>-Botica Sa Brgy. Pisaan</t>
  </si>
  <si>
    <t>-BDH PHRTF</t>
  </si>
  <si>
    <t>Konielou Berdin</t>
  </si>
  <si>
    <t>Alris John Calvo</t>
  </si>
  <si>
    <t>Crisanto Java</t>
  </si>
  <si>
    <t>Zenevev Longaquit</t>
  </si>
  <si>
    <t>Albert Parba</t>
  </si>
  <si>
    <t>Oriental Radio Electrical Supply</t>
  </si>
  <si>
    <t>0418/07</t>
  </si>
  <si>
    <t>Oro Asian Automotive</t>
  </si>
  <si>
    <t>P. T. Medical supply</t>
  </si>
  <si>
    <t>-Consolaion Sembrano</t>
  </si>
  <si>
    <t xml:space="preserve">Cash in Bank - Local Currency, Time Deposits </t>
  </si>
  <si>
    <t xml:space="preserve">Cash in Bank - Foreign Currency, Current Account </t>
  </si>
  <si>
    <t xml:space="preserve">Cash in Bank - Foreign Currency, Savings Account </t>
  </si>
  <si>
    <t>116</t>
  </si>
  <si>
    <t xml:space="preserve">Cash in Bank - Foreign Currency, Time Deposits </t>
  </si>
  <si>
    <t>117</t>
  </si>
  <si>
    <t xml:space="preserve">Accounts Receivable </t>
  </si>
  <si>
    <t>121</t>
  </si>
  <si>
    <t xml:space="preserve">   Allowance for Doubtful Accounts </t>
  </si>
  <si>
    <t>301</t>
  </si>
  <si>
    <t xml:space="preserve">Notes Receivable </t>
  </si>
  <si>
    <t>122</t>
  </si>
  <si>
    <t>w/drawn 11/26/2010</t>
  </si>
  <si>
    <t xml:space="preserve">Depreciation -Machineries  </t>
  </si>
  <si>
    <t>926</t>
  </si>
  <si>
    <t xml:space="preserve">Depreciation - Agricultural, Fishery and Forestry Equipment </t>
  </si>
  <si>
    <t>927</t>
  </si>
  <si>
    <t xml:space="preserve">Interests Receivable </t>
  </si>
  <si>
    <t>129</t>
  </si>
  <si>
    <t xml:space="preserve">Due from NGAs </t>
  </si>
  <si>
    <t>136</t>
  </si>
  <si>
    <t xml:space="preserve">Due from GOCCs </t>
  </si>
  <si>
    <t>137</t>
  </si>
  <si>
    <t xml:space="preserve">Due from LGUs </t>
  </si>
  <si>
    <t xml:space="preserve">Due from NGOs/POs </t>
  </si>
  <si>
    <t>139</t>
  </si>
  <si>
    <t xml:space="preserve">Due from Other Funds </t>
  </si>
  <si>
    <t xml:space="preserve">Receivables - Disallowances/Charges </t>
  </si>
  <si>
    <t>146</t>
  </si>
  <si>
    <t>Advances to Officers and Employees</t>
  </si>
  <si>
    <t>148</t>
  </si>
  <si>
    <t xml:space="preserve">Other Receivables </t>
  </si>
  <si>
    <t>JEV# 301-09-08-1479.JNK MEDICAL SALES. -PHRTF-PO#2246-09-SH</t>
  </si>
  <si>
    <t>dated 07/03/09-OR.#2183 dated 08/14/09</t>
  </si>
  <si>
    <t>JEV# 301-09-08-1480.METRO DRUG CORPORATION -PHRTF-PO#5107-08-DC</t>
  </si>
  <si>
    <t>LGU Assistance for Installation of New Reporting System</t>
  </si>
  <si>
    <t>Rehab. Of San Isidro Irrigation (Diversion Dam)</t>
  </si>
  <si>
    <t>Arth's Gen Mdse</t>
  </si>
  <si>
    <t>CMJ Electronics</t>
  </si>
  <si>
    <t>-TLDC Brochures</t>
  </si>
  <si>
    <t>AMELITA C. BAHIAN</t>
  </si>
  <si>
    <t>Ellen Tubia</t>
  </si>
  <si>
    <t>Tony Abay-abay</t>
  </si>
  <si>
    <t xml:space="preserve">Mary Grace Acita </t>
  </si>
  <si>
    <t xml:space="preserve">Ma. Angelita Salome  Acopiado </t>
  </si>
  <si>
    <t xml:space="preserve">Ven Billy  Antiga </t>
  </si>
  <si>
    <t xml:space="preserve">Nestor  Betaizar </t>
  </si>
  <si>
    <t xml:space="preserve">Oriol Jose  Dy </t>
  </si>
  <si>
    <t xml:space="preserve">Wilson  Gaspan </t>
  </si>
  <si>
    <t xml:space="preserve">Maritess  Lalisan </t>
  </si>
  <si>
    <t xml:space="preserve">Joseph  Montenegro </t>
  </si>
  <si>
    <t xml:space="preserve">Nicanor  Naranjo </t>
  </si>
  <si>
    <t>OR#1216046 dtd. 11/9/06</t>
  </si>
  <si>
    <t>Perfect Pitch</t>
  </si>
  <si>
    <t>OR# 1412086 dated 1/16/07</t>
  </si>
  <si>
    <t>Perfect Pitch Store</t>
  </si>
  <si>
    <t>OR# 0091178-7/19/04</t>
  </si>
  <si>
    <t>PHILAM Insurance</t>
  </si>
  <si>
    <t xml:space="preserve">Insurance Expenses </t>
  </si>
  <si>
    <t>893</t>
  </si>
  <si>
    <t xml:space="preserve">Bad Debts Expense </t>
  </si>
  <si>
    <t>901</t>
  </si>
  <si>
    <t xml:space="preserve">Depreciation - Land Improvements </t>
  </si>
  <si>
    <t>902</t>
  </si>
  <si>
    <t xml:space="preserve">Depreciation - Runways/Taxiways </t>
  </si>
  <si>
    <t>903</t>
  </si>
  <si>
    <t xml:space="preserve">Depreciation - Railways </t>
  </si>
  <si>
    <t>904</t>
  </si>
  <si>
    <t xml:space="preserve">Depreciation - Electrification, Power and Energy Structures </t>
  </si>
  <si>
    <t>905</t>
  </si>
  <si>
    <t xml:space="preserve">Depreciation - Office Buildings </t>
  </si>
  <si>
    <t>911</t>
  </si>
  <si>
    <t xml:space="preserve">Depreciation - School Buildings </t>
  </si>
  <si>
    <t>912</t>
  </si>
  <si>
    <t>Rhine Marketing</t>
  </si>
  <si>
    <t>RMDA ARCHITECT &amp; CO.</t>
  </si>
  <si>
    <t>RODGEM ENTERPRISES</t>
  </si>
  <si>
    <t>Rodrigo Bermejo</t>
  </si>
  <si>
    <t>Rodrigo Ligcuban Anotation fee</t>
  </si>
  <si>
    <t>Ronwood Construction &amp; Supplies</t>
  </si>
  <si>
    <t>Rosalinda Cadiz</t>
  </si>
  <si>
    <t>Rose Printing Press</t>
  </si>
  <si>
    <t>Rovic Pharmacy</t>
  </si>
  <si>
    <t>Samhill Ent. &amp; Gen. Services</t>
  </si>
  <si>
    <t>STATEMENT OF GOVERNMENT EQUITY</t>
  </si>
  <si>
    <t>For the year ended 2009</t>
  </si>
  <si>
    <t xml:space="preserve">   Deferred SET</t>
  </si>
  <si>
    <t>Presence of accts for GF use only</t>
  </si>
  <si>
    <t xml:space="preserve">    RPT Receivable </t>
  </si>
  <si>
    <t xml:space="preserve">    RPT (Income)</t>
  </si>
  <si>
    <t>PDAF Cong. Maria Valentina G. Plaza</t>
  </si>
  <si>
    <t>PDAF Cong. Evelyn P. Mellana</t>
  </si>
  <si>
    <t>UNICEF SPLD</t>
  </si>
  <si>
    <t xml:space="preserve">Depreciation - Other Structures </t>
  </si>
  <si>
    <t>915</t>
  </si>
  <si>
    <t xml:space="preserve">Depreciation - Leasehold Improvements, Land </t>
  </si>
  <si>
    <t>918</t>
  </si>
  <si>
    <t>OIC-Provincial Accountant</t>
  </si>
  <si>
    <t>San Francisco Agro-Mart</t>
  </si>
  <si>
    <t>San Francisco Educational Supply</t>
  </si>
  <si>
    <t>Sergio Ochavilla</t>
  </si>
  <si>
    <t>SF Agromart</t>
  </si>
  <si>
    <t>SG GEN. MDSE.</t>
  </si>
  <si>
    <t>Sibagat Mini Sawmill</t>
  </si>
  <si>
    <t>Smart PC Computer</t>
  </si>
  <si>
    <t>SMR Sand &amp; Gravel</t>
  </si>
  <si>
    <t>JEV# 301-09-07-1284.EURO MED LABORATORIES. -PHRTF-PO#0523-09-DC</t>
  </si>
  <si>
    <t>JEV# 301-09-07-1285.UNITED LABORATORIES. -PHRTF-PO#1274-09-DC</t>
  </si>
  <si>
    <t>dated 04/14/09-O.R.#1256824 dated 07/20/09</t>
  </si>
  <si>
    <t>dated 02/17/09-O.R.#128887 dated 07/30/09</t>
  </si>
  <si>
    <t>-Mechanical Dryer</t>
  </si>
  <si>
    <t>-Medicare Prof. Fee-BDH</t>
  </si>
  <si>
    <t>-Medicare Prof. Fee-DOPMH</t>
  </si>
  <si>
    <t>-Medicare Prof. Fee-EMCH</t>
  </si>
  <si>
    <t>BDH MED. SHARE-12/20/06</t>
  </si>
  <si>
    <t>-Medicare Prof. Fee-Lapaz Hospital</t>
  </si>
  <si>
    <t xml:space="preserve">F. AYALA, C/A </t>
  </si>
  <si>
    <t>Repairs and Maintenance - Artesian Wells, Reservoirs, Pumping Stations and Conduits</t>
  </si>
  <si>
    <t>854</t>
  </si>
  <si>
    <t xml:space="preserve">Repairs and Maintenance - Irrigation, Canals and Laterals </t>
  </si>
  <si>
    <t>855</t>
  </si>
  <si>
    <t xml:space="preserve">Repairs and Maintenance - Flood Controls </t>
  </si>
  <si>
    <t>856</t>
  </si>
  <si>
    <t>Repairs and Maintenance - Waterways, Aqueducts, Seawalls, Riverwalls and Others</t>
  </si>
  <si>
    <t>857</t>
  </si>
  <si>
    <t xml:space="preserve">Repairs and Maintenance - Other Public Infrastructures </t>
  </si>
  <si>
    <t>860</t>
  </si>
  <si>
    <t xml:space="preserve">Repairs and Maintenance - Reforestation - Upland </t>
  </si>
  <si>
    <t>861</t>
  </si>
  <si>
    <t xml:space="preserve">Repairs and Maintenance - Reforestation - Marshland/Swampland </t>
  </si>
  <si>
    <t>862</t>
  </si>
  <si>
    <t xml:space="preserve">Subsidy to National Government Agencies </t>
  </si>
  <si>
    <t>871</t>
  </si>
  <si>
    <t xml:space="preserve">Subsidy to Local Government Units </t>
  </si>
  <si>
    <t>874</t>
  </si>
  <si>
    <t>67,000 IP Balance</t>
  </si>
  <si>
    <t xml:space="preserve">Processing Fees </t>
  </si>
  <si>
    <t>621</t>
  </si>
  <si>
    <t xml:space="preserve">Seminar Fees </t>
  </si>
  <si>
    <t>622</t>
  </si>
  <si>
    <t xml:space="preserve">Toll and Terminal Fees </t>
  </si>
  <si>
    <t>623</t>
  </si>
  <si>
    <t xml:space="preserve">Transcript of Records Fees </t>
  </si>
  <si>
    <t>624</t>
  </si>
  <si>
    <t xml:space="preserve">Other Service Income </t>
  </si>
  <si>
    <t>628</t>
  </si>
  <si>
    <t xml:space="preserve">Fines and Penalties - Service Income </t>
  </si>
  <si>
    <t>629</t>
  </si>
  <si>
    <t xml:space="preserve">Hospital Fees </t>
  </si>
  <si>
    <t>631</t>
  </si>
  <si>
    <t>Certified Correct:</t>
  </si>
  <si>
    <t>JOY D. LAGAT, CPA</t>
  </si>
  <si>
    <t>Accountant- IV</t>
  </si>
  <si>
    <t>Officer-in-charge</t>
  </si>
  <si>
    <t>BALANCE SHEET</t>
  </si>
  <si>
    <t>ASSETS</t>
  </si>
  <si>
    <t>CURRENT ASSETS</t>
  </si>
  <si>
    <t>CASH</t>
  </si>
  <si>
    <t>Cash on Hand</t>
  </si>
  <si>
    <t xml:space="preserve">Cash - Disbursing Officers </t>
  </si>
  <si>
    <t>Cash in Bank - Local Currency</t>
  </si>
  <si>
    <t>Harjens Trade Center</t>
  </si>
  <si>
    <t>Metro Drugs Corp</t>
  </si>
  <si>
    <t>-Botica Sa Brgy. Grace Estate</t>
  </si>
  <si>
    <t>-NALIYAGAN Booth Rental &amp; Sponsorship 2010</t>
  </si>
  <si>
    <t xml:space="preserve">Income from Waterworks Systems </t>
  </si>
  <si>
    <t>639</t>
  </si>
  <si>
    <t xml:space="preserve">Landing and Parking Fees </t>
  </si>
  <si>
    <t>640</t>
  </si>
  <si>
    <t xml:space="preserve">Printing and Publication Income </t>
  </si>
  <si>
    <t>641</t>
  </si>
  <si>
    <t xml:space="preserve">Rent Income </t>
  </si>
  <si>
    <t>642</t>
  </si>
  <si>
    <t xml:space="preserve">Sales Revenue </t>
  </si>
  <si>
    <t>643</t>
  </si>
  <si>
    <t xml:space="preserve">Tuition Fees </t>
  </si>
  <si>
    <t>644</t>
  </si>
  <si>
    <t xml:space="preserve">Other Business Income </t>
  </si>
  <si>
    <t>648</t>
  </si>
  <si>
    <t xml:space="preserve">Fines and Penalties - Business Income </t>
  </si>
  <si>
    <t>649</t>
  </si>
  <si>
    <t xml:space="preserve">Subsidy from other National Government Agencies </t>
  </si>
  <si>
    <t>652</t>
  </si>
  <si>
    <t xml:space="preserve">Subsidy from Other LGUs </t>
  </si>
  <si>
    <t>656</t>
  </si>
  <si>
    <t xml:space="preserve">Subsidy from Other Funds </t>
  </si>
  <si>
    <t>657</t>
  </si>
  <si>
    <t xml:space="preserve">Dividend Income </t>
  </si>
  <si>
    <t>661</t>
  </si>
  <si>
    <t xml:space="preserve">Income from Grants and Donations </t>
  </si>
  <si>
    <t>662</t>
  </si>
  <si>
    <t xml:space="preserve">Insurance Income </t>
  </si>
  <si>
    <t>663</t>
  </si>
  <si>
    <t xml:space="preserve">Interest Income </t>
  </si>
  <si>
    <t>664</t>
  </si>
  <si>
    <t xml:space="preserve">Internal Revenue Allotment </t>
  </si>
  <si>
    <t>665</t>
  </si>
  <si>
    <t xml:space="preserve">Sale of Confiscated/Abandoned/Seized Goods and Properties </t>
  </si>
  <si>
    <t>666</t>
  </si>
  <si>
    <t xml:space="preserve">Share from Economic Zones </t>
  </si>
  <si>
    <t>667</t>
  </si>
  <si>
    <t xml:space="preserve">Share from Expanded Value Added Tax (EVAT) </t>
  </si>
  <si>
    <t>668</t>
  </si>
  <si>
    <t xml:space="preserve">Share from National Wealth </t>
  </si>
  <si>
    <t>669</t>
  </si>
  <si>
    <t xml:space="preserve">Share from PAGCOR/PCSO </t>
  </si>
  <si>
    <t>670</t>
  </si>
  <si>
    <t xml:space="preserve">Share from Tobacco Excise Tax </t>
  </si>
  <si>
    <t>-Medicare Prof. Fee-Loreto Hospital</t>
  </si>
  <si>
    <t>P. Yucosing</t>
  </si>
  <si>
    <t>C/a</t>
  </si>
  <si>
    <t>P. Yocusing</t>
  </si>
  <si>
    <t>-MOA preparation service fee (TLDC)</t>
  </si>
  <si>
    <t>9/06/05</t>
  </si>
  <si>
    <t>-Moral Recovery</t>
  </si>
  <si>
    <t>C/A Mondejar</t>
  </si>
  <si>
    <t>PEO FUND DPWH-</t>
  </si>
  <si>
    <t>PR BUTUAN L &amp; A- 09/07/05</t>
  </si>
  <si>
    <t>-MRDP Reg. Fees</t>
  </si>
  <si>
    <t>C/A Cadeliña</t>
  </si>
  <si>
    <t>Moral Available funds</t>
  </si>
  <si>
    <t>09/02/05</t>
  </si>
  <si>
    <t>8 PCS. CELL PHONES</t>
  </si>
  <si>
    <t>-Investment Promotional Collateral Project(IPCP) Fund</t>
  </si>
  <si>
    <t>-Pasko Sa Kapitolyo and Booth Rental 2009</t>
  </si>
  <si>
    <t>Teresita Aroy</t>
  </si>
  <si>
    <t>CIDP Bakas - 8277.74</t>
  </si>
  <si>
    <t>1 unit 5 tons compress motor</t>
  </si>
  <si>
    <t>-NALIYAGAN Booth Rental &amp; Sponsorship 2009</t>
  </si>
  <si>
    <t>-NEDA Monitoring Projects</t>
  </si>
  <si>
    <t>MRDP Fund-</t>
  </si>
  <si>
    <t>1 tube xerox machine</t>
  </si>
  <si>
    <t>-Organic Fertilizer</t>
  </si>
  <si>
    <t>1 pc. Motolite</t>
  </si>
  <si>
    <t>-Others</t>
  </si>
  <si>
    <t>Y. Urbiztondo, c/a  11/08/06</t>
  </si>
  <si>
    <t>note including travel</t>
  </si>
  <si>
    <t xml:space="preserve">  </t>
  </si>
  <si>
    <t>-PAGTUON</t>
  </si>
  <si>
    <t>Y. Urbiztondo, c/a  4/25/06</t>
  </si>
  <si>
    <t>Balance Reserve for material testing-</t>
  </si>
  <si>
    <t>-Pasko Sa Kapitolyo</t>
  </si>
  <si>
    <t>-Payment of LGU  loan assistance(IFAD)-PROJECTS</t>
  </si>
  <si>
    <t>-PBAC/PGSO</t>
  </si>
  <si>
    <t>PR  supplies</t>
  </si>
  <si>
    <t>L &amp; A TRADING</t>
  </si>
  <si>
    <t>-PCSO</t>
  </si>
  <si>
    <t>01/12/06</t>
  </si>
  <si>
    <t>-Personnels Fund</t>
  </si>
  <si>
    <t>PR 1 PC. Leaf Spring &amp; etc.</t>
  </si>
  <si>
    <t>-PGSO-Revolving Fund of Gasoline &amp; Diesoline</t>
  </si>
  <si>
    <t>-PHIC Accredited Health Care Provider</t>
  </si>
  <si>
    <t>-PPDO-MAP</t>
  </si>
  <si>
    <t>BAL</t>
  </si>
  <si>
    <t>-POPCOM</t>
  </si>
  <si>
    <t>PBAC-</t>
  </si>
  <si>
    <t>PR 1 PC. Battery</t>
  </si>
  <si>
    <t>Depletion - Obsolescence - IT software</t>
  </si>
  <si>
    <t>Discounts</t>
  </si>
  <si>
    <t>Tax Exemptions and Refunds</t>
  </si>
  <si>
    <t>Other Maintenance and Operating Expenses</t>
  </si>
  <si>
    <t>FINANCIAL EXPENSES</t>
  </si>
  <si>
    <t>TOTAL EXPENSES</t>
  </si>
  <si>
    <t>Income before Subsidies, Donations and Extraordinary Items</t>
  </si>
  <si>
    <t>Add:</t>
  </si>
  <si>
    <t xml:space="preserve">   Total</t>
  </si>
  <si>
    <t>Less:</t>
  </si>
  <si>
    <t>Income before Extraordinary Expenses</t>
  </si>
  <si>
    <t>Add (Less) Extraordinary Items</t>
  </si>
  <si>
    <t>NET INCOME</t>
  </si>
  <si>
    <t xml:space="preserve">    Debit Balance</t>
  </si>
  <si>
    <t>Schedule  6 -148- ADVANCES TO OFFICERS AND EMPLOYEES</t>
  </si>
  <si>
    <t>-power Tiller with engine</t>
  </si>
  <si>
    <t>PR BLUE PRINTING &amp; ETC.</t>
  </si>
  <si>
    <t>PR 1 PC IGNITION &amp; etc.</t>
  </si>
  <si>
    <t>-Premium Insurance Policy(Malaria)</t>
  </si>
  <si>
    <t>-Project Tubig Fund</t>
  </si>
  <si>
    <t>-Provincial Disaster Coordinating Council</t>
  </si>
  <si>
    <t xml:space="preserve">-PTO BOOKS </t>
  </si>
  <si>
    <t>-PTO-REGISTRATION</t>
  </si>
  <si>
    <t>07/25/06</t>
  </si>
  <si>
    <t>-Ramza/Venue Rental/Covered Court</t>
  </si>
  <si>
    <t>-Regional Athletic Meet</t>
  </si>
  <si>
    <t>-Revenue from sales of tapes</t>
  </si>
  <si>
    <t>07/06/07</t>
  </si>
  <si>
    <t>-Registration Brgy. Training</t>
  </si>
  <si>
    <t>-Registration of CBMS</t>
  </si>
  <si>
    <t>-Registration of Local Shelter Formulation -PDPDS</t>
  </si>
  <si>
    <t>-Registration Refresher Course</t>
  </si>
  <si>
    <t>-Registration-REV-GENERATION</t>
  </si>
  <si>
    <t>-Registration SDC &amp; VOW</t>
  </si>
  <si>
    <t>cash adva. For repair &amp; mat. Of REVO</t>
  </si>
  <si>
    <t>-RODGEM Ent. Accreditation</t>
  </si>
  <si>
    <t>-Rural Water Sytem Repayments</t>
  </si>
  <si>
    <t>-Rubber Cup Lump</t>
  </si>
  <si>
    <t>-SAFRAGEMC</t>
  </si>
  <si>
    <t>-Rubber Seedling</t>
  </si>
  <si>
    <t>-Sales of Medicines-LHSD(Revolving Fund)</t>
  </si>
  <si>
    <t>9/28/07</t>
  </si>
  <si>
    <t>-SEAK</t>
  </si>
  <si>
    <t>-Silya Ni Gloria sa Eskwela</t>
  </si>
  <si>
    <t>-SPEECH LABORATORY</t>
  </si>
  <si>
    <t>-SK Funds</t>
  </si>
  <si>
    <t>-Social Reform Council</t>
  </si>
  <si>
    <t>STATEMENT OF INCOME AND EXPENSES</t>
  </si>
  <si>
    <t>For the quarter ended June 30, 2009</t>
  </si>
  <si>
    <t>TAX REVENUE</t>
  </si>
  <si>
    <t>Local Taxes</t>
  </si>
  <si>
    <t>Occupation Tax **</t>
  </si>
  <si>
    <t>GENERAL INCOME ACCOUNTS</t>
  </si>
  <si>
    <t>Permits and Licenses</t>
  </si>
  <si>
    <t>Service Income</t>
  </si>
  <si>
    <t>Business Income</t>
  </si>
  <si>
    <t>Subsidy from National Government Agencies</t>
  </si>
  <si>
    <t xml:space="preserve">Less: Cost of Goods Sold </t>
  </si>
  <si>
    <t>Gross Profit</t>
  </si>
  <si>
    <t>Other Income</t>
  </si>
  <si>
    <t>TOTAL INCOME</t>
  </si>
  <si>
    <t>EXPENSES</t>
  </si>
  <si>
    <t>PERSONAL SERVICES</t>
  </si>
  <si>
    <t>Salaries and Wages</t>
  </si>
  <si>
    <t>Calamity Fund 2009</t>
  </si>
  <si>
    <t>Medical, Dental and Laboratory Equipment (net)</t>
  </si>
  <si>
    <t>JEV# 301-09-10-2011.ZUELLIG PHARMA CORPORATION -PHRTF-PO#3141-09-DC</t>
  </si>
  <si>
    <t>dated 09/09/09-OR#81107 dated 10/29/09</t>
  </si>
  <si>
    <t xml:space="preserve">Repairs and Maintenance - Railways </t>
  </si>
  <si>
    <t>Andre  Bustamante-PSF</t>
  </si>
  <si>
    <t>Bebis Salome</t>
  </si>
  <si>
    <t>Cadeliña Maginda</t>
  </si>
  <si>
    <t>Carlos Saligan</t>
  </si>
  <si>
    <t>CASTR</t>
  </si>
  <si>
    <t>Carolina Lagat</t>
  </si>
  <si>
    <t>Caryl Cavan</t>
  </si>
  <si>
    <t>Ceasar Rufila</t>
  </si>
  <si>
    <t>Celso Balmadres</t>
  </si>
  <si>
    <t>Cerilo Balatero</t>
  </si>
  <si>
    <t>Duterte</t>
  </si>
  <si>
    <t>Crisanto  Baldicantos</t>
  </si>
  <si>
    <t>Daisy Sasil</t>
  </si>
  <si>
    <t>Danilo Garcia</t>
  </si>
  <si>
    <t>Denney Sasil</t>
  </si>
  <si>
    <t>Divina Lagumbay</t>
  </si>
  <si>
    <t>Domingo Castro, Jr.</t>
  </si>
  <si>
    <t>PSF CASH ADVANCES-</t>
  </si>
  <si>
    <t>Eddie Miladona-</t>
  </si>
  <si>
    <t>Edith Mongaya</t>
  </si>
  <si>
    <t>Schedule 9 - 416- DUE TO OTHER NGA'S</t>
  </si>
  <si>
    <t>ACT FOR PEACE PROGRAM</t>
  </si>
  <si>
    <t>for Mindanao Week Long peace</t>
  </si>
  <si>
    <t xml:space="preserve">Security Services </t>
  </si>
  <si>
    <t>797</t>
  </si>
  <si>
    <t xml:space="preserve">Other Professional Services </t>
  </si>
  <si>
    <t>799</t>
  </si>
  <si>
    <t>CDF- SATUR OCAMPO</t>
  </si>
  <si>
    <t>CDF-DA FUND for Agriculture's Office</t>
  </si>
  <si>
    <t>CDF-SEN. PEMENTEL</t>
  </si>
  <si>
    <t>DA-CDF</t>
  </si>
  <si>
    <t>NOSA FROM DBM-NO NOTICE OF CASH ALLOCATION-12/27/07</t>
  </si>
  <si>
    <t>COMELEC</t>
  </si>
  <si>
    <t xml:space="preserve">5/5 PTO-pay't 204 liter diesoline </t>
  </si>
  <si>
    <t>CRBI-1980-81</t>
  </si>
  <si>
    <t>CRBI-1985</t>
  </si>
  <si>
    <t>DA- Acquisition of agricultural suplies and inputs</t>
  </si>
  <si>
    <t>DA- Acquisition of Agricultural Fertilizers</t>
  </si>
  <si>
    <t>DA-BSWM</t>
  </si>
  <si>
    <t>NCA</t>
  </si>
  <si>
    <t>DA-Corn Planters Program</t>
  </si>
  <si>
    <t>DA-Devolved</t>
  </si>
  <si>
    <t>DA-Rehab. NRJ  BRGY. 1-BITAN-AGAN ROAD</t>
  </si>
  <si>
    <t>DA-Rehab. NRJ KARAOS-LAPAG-SOMOGBONG FMR</t>
  </si>
  <si>
    <t>Balance</t>
  </si>
  <si>
    <t>DA-Rehab. Of San Isidro Irrigation Projects at Bayugan, ADS</t>
  </si>
  <si>
    <t>DAR-IFAD-GOP</t>
  </si>
  <si>
    <t>DAR-IFAD-GOP-NCIP</t>
  </si>
  <si>
    <t>DAR-IFAD-LP</t>
  </si>
  <si>
    <t>DAR-IFAD-LP NCIP</t>
  </si>
  <si>
    <t>DAR-IFAD-LP-BHW Training, Health &amp; Nutrition</t>
  </si>
  <si>
    <t>DA-VAIP GMAP NRJ MABUHAY-TAGUBAY FMR</t>
  </si>
  <si>
    <t>DA-VAIP GMAP NRJ PIGLAWIGAN-NATO FMR</t>
  </si>
  <si>
    <t>DA-VAIP GMAP NRJ Cagbas-Saguma-Gamao FMR</t>
  </si>
  <si>
    <t>618</t>
  </si>
  <si>
    <t>-Provl Road Maintenance Facility</t>
  </si>
  <si>
    <t>DPWH-SLRF MVUC Crossing Luna Duangan</t>
  </si>
  <si>
    <t>DPWH-SLRF MVUC Tagbayagan RD.</t>
  </si>
  <si>
    <t>Rehab. Of Pisaan-Borbon &amp; NRJ Crossing Luna Duangan Rd</t>
  </si>
  <si>
    <t>111(40)</t>
  </si>
  <si>
    <t>301-10-06-0976</t>
  </si>
  <si>
    <t>301-10-06-0977</t>
  </si>
  <si>
    <t>301-10-06-0978</t>
  </si>
  <si>
    <t xml:space="preserve">   Accumulated Depreciation - Medical, Dental and Laboratory Equipment </t>
  </si>
  <si>
    <t>333</t>
  </si>
  <si>
    <t xml:space="preserve">Military and Police Equipment </t>
  </si>
  <si>
    <t>234</t>
  </si>
  <si>
    <t xml:space="preserve">   Accumulated Depreciation - Military and Police Equipment </t>
  </si>
  <si>
    <t>334</t>
  </si>
  <si>
    <t xml:space="preserve">Sports Equipment </t>
  </si>
  <si>
    <t>235</t>
  </si>
  <si>
    <t xml:space="preserve">   Accumulated Depreciation - Sports Equipment </t>
  </si>
  <si>
    <t>335</t>
  </si>
  <si>
    <t xml:space="preserve">Technical and Scientific Equipment </t>
  </si>
  <si>
    <t>236</t>
  </si>
  <si>
    <t>301-10-06-0981</t>
  </si>
  <si>
    <t>301-10-06-0953</t>
  </si>
  <si>
    <t>301-10-06-0963</t>
  </si>
  <si>
    <t>301-10-06-0937</t>
  </si>
  <si>
    <t>301-10-06-0933</t>
  </si>
  <si>
    <t>PSF-</t>
  </si>
  <si>
    <t>PR  20 pcs. Plywood 4x8</t>
  </si>
  <si>
    <t>(11) LBP</t>
  </si>
  <si>
    <t>-Rural Water Supply</t>
  </si>
  <si>
    <t>Cash Adv., &gt;S. Calonzo</t>
  </si>
  <si>
    <t>(13) LBP</t>
  </si>
  <si>
    <t>-BWSA - DPWH</t>
  </si>
  <si>
    <t>(12) DBP</t>
  </si>
  <si>
    <t>For transfer to TF PROPER</t>
  </si>
  <si>
    <t>(17) DBP</t>
  </si>
  <si>
    <t>-Department of Energy</t>
  </si>
  <si>
    <t>11/27/08 Adolph Edward Plaza - reimb of TEV</t>
  </si>
  <si>
    <t>(18) LBP</t>
  </si>
  <si>
    <t>-Malaria  Resource Center</t>
  </si>
  <si>
    <t>11/27/2008 Joselito S. Aala - reimb of TEV</t>
  </si>
  <si>
    <t>(21) DBP</t>
  </si>
  <si>
    <t>-Malaria Control Project</t>
  </si>
  <si>
    <t>11/27/2008 Christopher H. Lindo -C/A travel</t>
  </si>
  <si>
    <t>(22) LBP</t>
  </si>
  <si>
    <t>-LGU Support to Malaria for Revolving Fund</t>
  </si>
  <si>
    <t>12/11/08</t>
  </si>
  <si>
    <t>Gov. MA.V.G.PLAZA</t>
  </si>
  <si>
    <t>travel manila</t>
  </si>
  <si>
    <t>(23) LBP</t>
  </si>
  <si>
    <t>-Hospital Revolving Fund</t>
  </si>
  <si>
    <t>4/07/09</t>
  </si>
  <si>
    <t>Sherwin Calonzo - cash advance of 13 packs PVC Plastic</t>
  </si>
  <si>
    <t>(25) LBP</t>
  </si>
  <si>
    <t>-DOPMH Revolving Fund</t>
  </si>
  <si>
    <t>(26)DBP</t>
  </si>
  <si>
    <t>248</t>
  </si>
  <si>
    <t xml:space="preserve">   Accumulated Depreciation - Other Transportation Equipment </t>
  </si>
  <si>
    <t>348</t>
  </si>
  <si>
    <t xml:space="preserve">Other Property, Plant and Equipment </t>
  </si>
  <si>
    <t>250</t>
  </si>
  <si>
    <t xml:space="preserve">   Accumulated Depreciation - Other Property, Plant and Equipment </t>
  </si>
  <si>
    <t>350</t>
  </si>
  <si>
    <t xml:space="preserve">Roads, Highways and Bridges  </t>
  </si>
  <si>
    <t>251</t>
  </si>
  <si>
    <t xml:space="preserve">Parks, Plazas and Monuments </t>
  </si>
  <si>
    <t>252</t>
  </si>
  <si>
    <t xml:space="preserve">Ports, Lighthouses and Harbors </t>
  </si>
  <si>
    <t>253</t>
  </si>
  <si>
    <t xml:space="preserve">Artesian Wells, Reservoirs, Pumping Stations and Conduits </t>
  </si>
  <si>
    <t>254</t>
  </si>
  <si>
    <t xml:space="preserve">Irrigation, Canals and Laterals </t>
  </si>
  <si>
    <t>255</t>
  </si>
  <si>
    <t xml:space="preserve">Flood Controls </t>
  </si>
  <si>
    <t xml:space="preserve">Deferred Real Property Tax Income </t>
  </si>
  <si>
    <t>451</t>
  </si>
  <si>
    <t xml:space="preserve">Deferred Special Education Tax Income </t>
  </si>
  <si>
    <t>452</t>
  </si>
  <si>
    <t xml:space="preserve">Other Deferred Credits </t>
  </si>
  <si>
    <t>455</t>
  </si>
  <si>
    <t xml:space="preserve">Government Equity </t>
  </si>
  <si>
    <t>501</t>
  </si>
  <si>
    <t xml:space="preserve">Cost of Goods Sold </t>
  </si>
  <si>
    <t>511</t>
  </si>
  <si>
    <t xml:space="preserve">Retained Operating Surplus (Year 1) </t>
  </si>
  <si>
    <t>513</t>
  </si>
  <si>
    <t xml:space="preserve">Retained Operating Surplus (Year 2) </t>
  </si>
  <si>
    <t>514</t>
  </si>
  <si>
    <t xml:space="preserve">Retained Operating Surplus (Year 3) </t>
  </si>
  <si>
    <t>515</t>
  </si>
  <si>
    <t>Professional Tax</t>
  </si>
  <si>
    <t>564</t>
  </si>
  <si>
    <t xml:space="preserve">Amusement Tax </t>
  </si>
  <si>
    <t>581</t>
  </si>
  <si>
    <t xml:space="preserve">Business Tax </t>
  </si>
  <si>
    <t>582</t>
  </si>
  <si>
    <t xml:space="preserve">Community Tax </t>
  </si>
  <si>
    <t>583</t>
  </si>
  <si>
    <t xml:space="preserve">Franchise Tax </t>
  </si>
  <si>
    <t>584</t>
  </si>
  <si>
    <t>LGU Counterpart to Water System of P7-Aurora, Prsoperidad</t>
  </si>
  <si>
    <t>LGU Counterpart to WATSAN-Convergence</t>
  </si>
  <si>
    <t>LGU Counterpart to Youth Congress</t>
  </si>
  <si>
    <t xml:space="preserve">Repairs and Maintenance - Sports Equipment </t>
  </si>
  <si>
    <t>835</t>
  </si>
  <si>
    <t xml:space="preserve">Repairs and Maintenance - Technical and Scientific Equipment </t>
  </si>
  <si>
    <t>836</t>
  </si>
  <si>
    <t xml:space="preserve">Repairs and Maintenance - Other Machineries and Equipment </t>
  </si>
  <si>
    <t>840</t>
  </si>
  <si>
    <t xml:space="preserve">Repairs and Maintenance - Motor Vehicles </t>
  </si>
  <si>
    <t>841</t>
  </si>
  <si>
    <t xml:space="preserve">Repairs and Maintenance - Trains </t>
  </si>
  <si>
    <t>842</t>
  </si>
  <si>
    <t xml:space="preserve">Repairs and Maintenance - Aircraft and Aircraft Ground Equipment </t>
  </si>
  <si>
    <t>843</t>
  </si>
  <si>
    <t xml:space="preserve">Repairs and Maintenance - Watercrafts </t>
  </si>
  <si>
    <t>844</t>
  </si>
  <si>
    <t xml:space="preserve">Repairs and Maintenance - Other Transportation Equipment </t>
  </si>
  <si>
    <t>848</t>
  </si>
  <si>
    <t xml:space="preserve">Repairs and Maintenance - Other Property, Plant and Equipment </t>
  </si>
  <si>
    <t>850</t>
  </si>
  <si>
    <t xml:space="preserve">Repairs and Maintenance - Roads, Highways and Bridges </t>
  </si>
  <si>
    <t>851</t>
  </si>
  <si>
    <t xml:space="preserve">ADJUSTMENTS </t>
  </si>
  <si>
    <t>Bal.-DOE-</t>
  </si>
  <si>
    <t xml:space="preserve">BARANGAY ELECTRIFICATION </t>
  </si>
  <si>
    <t>DOE</t>
  </si>
  <si>
    <t>MINSSAD-20% DEV'T. FUND</t>
  </si>
  <si>
    <t>Highway illumination single arm Sta. Josefa, ADS</t>
  </si>
  <si>
    <t>SELAP-ABACA PRODUCTION</t>
  </si>
  <si>
    <t>Transfer of funds from TF-Proper to TF-MINSSAD</t>
  </si>
  <si>
    <t>SELPA-BANANA PRODUCTION</t>
  </si>
  <si>
    <t>SELAP-DACUTAN &amp; SPILLWAY</t>
  </si>
  <si>
    <t>SELAP-FMR</t>
  </si>
  <si>
    <t>SELAP-FMR-DEL MONTE-KATIPUNAN</t>
  </si>
  <si>
    <t>Transfer of funds from Materials Testing to TF-Proper</t>
  </si>
  <si>
    <t>SELAP-GOAT DEVELOPMENT PROGRAM</t>
  </si>
  <si>
    <t>SELAP-PISOS</t>
  </si>
  <si>
    <t>SELAP-RUBBER PRODUCTION</t>
  </si>
  <si>
    <t>SELAP-RUBBER DEVELOPMENT</t>
  </si>
  <si>
    <t>SELAP-SWINE UPGRADING PROGRAM</t>
  </si>
  <si>
    <t>ECCD CWC</t>
  </si>
  <si>
    <t xml:space="preserve">MVUC-SLRF </t>
  </si>
  <si>
    <t>TF-Proper</t>
  </si>
  <si>
    <t>Schedule 12 - 426-GUARANTY DEPOSIT PAYABLE</t>
  </si>
  <si>
    <t>Balances carried forward</t>
  </si>
  <si>
    <t>AGUSAN BUILDERS COOPERATIVE (ABCO)</t>
  </si>
  <si>
    <t>Fedil Bolatete-site survey Patin-ay resettlement</t>
  </si>
  <si>
    <t xml:space="preserve">Construction in Progress - Irrigation, Canals and Laterals </t>
  </si>
  <si>
    <t>270</t>
  </si>
  <si>
    <t xml:space="preserve">Construction in Progress - Flood Controls </t>
  </si>
  <si>
    <t>271</t>
  </si>
  <si>
    <t>Construction in Progress - Waterways, Aqueducts, Seawalls, River Walls and Others</t>
  </si>
  <si>
    <t>272</t>
  </si>
  <si>
    <t xml:space="preserve">Construction in Progress - Other Public Infrastructures </t>
  </si>
  <si>
    <t>273</t>
  </si>
  <si>
    <t xml:space="preserve">Construction in Progress - Reforestation - Upland </t>
  </si>
  <si>
    <t>274</t>
  </si>
  <si>
    <t xml:space="preserve">Construction in Progress - Reforestation - Marshland/Swampland </t>
  </si>
  <si>
    <t>275</t>
  </si>
  <si>
    <t xml:space="preserve">Work/Other Animals </t>
  </si>
  <si>
    <t>281</t>
  </si>
  <si>
    <t xml:space="preserve">Breeding Stocks </t>
  </si>
  <si>
    <t>282</t>
  </si>
  <si>
    <t xml:space="preserve">Arts, Archeological Specimen and Other Exhibits </t>
  </si>
  <si>
    <t>283</t>
  </si>
  <si>
    <t xml:space="preserve">Items in Transit </t>
  </si>
  <si>
    <t>284</t>
  </si>
  <si>
    <t xml:space="preserve">Other Assets </t>
  </si>
  <si>
    <t>290</t>
  </si>
  <si>
    <t xml:space="preserve">Accounts Payable </t>
  </si>
  <si>
    <t>401</t>
  </si>
  <si>
    <t xml:space="preserve">Notes Payable </t>
  </si>
  <si>
    <t>402</t>
  </si>
  <si>
    <t xml:space="preserve">Due to Officers and Employees </t>
  </si>
  <si>
    <t>403</t>
  </si>
  <si>
    <t xml:space="preserve">Interest Payable </t>
  </si>
  <si>
    <t>409</t>
  </si>
  <si>
    <t xml:space="preserve">Due to BIR </t>
  </si>
  <si>
    <t>412</t>
  </si>
  <si>
    <t xml:space="preserve">Due to GSIS </t>
  </si>
  <si>
    <t>413</t>
  </si>
  <si>
    <t>Naomi Diza</t>
  </si>
  <si>
    <t>Agusan Builders Cooperative</t>
  </si>
  <si>
    <t>ADFIL Corporation</t>
  </si>
  <si>
    <t>Floriance const. &amp; Supply</t>
  </si>
  <si>
    <t>LM Construction &amp; General Mktg</t>
  </si>
  <si>
    <t>Madyaw Construction &amp; Dev't Corporation</t>
  </si>
  <si>
    <t>ME3 Construction</t>
  </si>
  <si>
    <t>WILPER Construction</t>
  </si>
  <si>
    <t>-Congressman Chua NATCCO</t>
  </si>
  <si>
    <t>-Tilapia Lake Oro</t>
  </si>
  <si>
    <t>Vilma Mabras</t>
  </si>
  <si>
    <t>dated 06/04/09-OR#1274229 dated 11/5/09</t>
  </si>
  <si>
    <t>JEV# 301-09.11.2231.JNK MEDICAL SALES -PHRTF-PO#3907-09-DC</t>
  </si>
  <si>
    <t>JEV# 301-09.11.2232.METRO DRUGS, INC. -PHRTF-PO#3423-09-DC</t>
  </si>
  <si>
    <t>dated 09/24/09-OR#794555 dated 11/27/09</t>
  </si>
  <si>
    <t>dated 10/29/09-OR#12064 dated 11/25/09</t>
  </si>
  <si>
    <t xml:space="preserve">Nestor Reganon- </t>
  </si>
  <si>
    <t>J V Printing Cooperative Inc.</t>
  </si>
  <si>
    <t>Jeels Masagana Farm Supply</t>
  </si>
  <si>
    <t>Jessel Marketing</t>
  </si>
  <si>
    <t>Jesus Postrano</t>
  </si>
  <si>
    <t>JFP Ent.</t>
  </si>
  <si>
    <t>John Jade Gen. Mdse.</t>
  </si>
  <si>
    <t>Johnny Martensan</t>
  </si>
  <si>
    <t>Joji Afable Trading</t>
  </si>
  <si>
    <t>Juanito Dequito</t>
  </si>
  <si>
    <t>KIMSON</t>
  </si>
  <si>
    <t>Karagahan Wood Industry Multi-purpose Coop.</t>
  </si>
  <si>
    <t>Kristelles</t>
  </si>
  <si>
    <t>LC TING Const.</t>
  </si>
  <si>
    <t>Leyson Printing</t>
  </si>
  <si>
    <t>LGC Const.</t>
  </si>
  <si>
    <t>LGC Trucking &amp; Const.</t>
  </si>
  <si>
    <t>(With Comparative Figures for CY 2009)</t>
  </si>
  <si>
    <t>2009</t>
  </si>
  <si>
    <t>2010</t>
  </si>
  <si>
    <t>SAFRA-ADAP, SAN FRANCISCO</t>
  </si>
  <si>
    <t>WILD TRENDS WOODCRAFT</t>
  </si>
  <si>
    <t>256</t>
  </si>
  <si>
    <t>LM CONSTRUCTION &amp; GEN. MKTG.</t>
  </si>
  <si>
    <t>LNR CONSTRUCTION</t>
  </si>
  <si>
    <t>Loyola De Oro Dep't. Foundation Inc.</t>
  </si>
  <si>
    <t>LGU COUNTERPART TO MALARIA</t>
  </si>
  <si>
    <t xml:space="preserve">Note: 500,000.00 is receivable from </t>
  </si>
  <si>
    <t>PR 14 BXS. ALCOHOL(CASINA)</t>
  </si>
  <si>
    <t>03/25/09</t>
  </si>
  <si>
    <t>-Loan Assistance to -AGUSAN PEOPLES HEALTH DEV'T. FOUNDATION</t>
  </si>
  <si>
    <t>-Loan Assistance to BEAWAN MPC(SELAP FUND)</t>
  </si>
  <si>
    <t>-Arsenia Opo</t>
  </si>
  <si>
    <t>-Arthur Cabana</t>
  </si>
  <si>
    <t>-Asuncion Deano</t>
  </si>
  <si>
    <t>-Avelino Sumipo</t>
  </si>
  <si>
    <t>-Bartolome Buniel</t>
  </si>
  <si>
    <t>-Bebiano Vanzuela</t>
  </si>
  <si>
    <t>-Bernabe Aboloc</t>
  </si>
  <si>
    <t>-Bernardita Ombaogan</t>
  </si>
  <si>
    <t>-Bernardo Bernani</t>
  </si>
  <si>
    <t>-Bonifacia Balicoco</t>
  </si>
  <si>
    <t>-Bonifacio Amarga</t>
  </si>
  <si>
    <t>-Bonifacio Cabellon</t>
  </si>
  <si>
    <t>-Buenafe Solis</t>
  </si>
  <si>
    <t>-Caridad de los Santos</t>
  </si>
  <si>
    <t>-Carolina Misagal</t>
  </si>
  <si>
    <t>-Casimero Guzman</t>
  </si>
  <si>
    <t>-Catalina Queriado</t>
  </si>
  <si>
    <t>-Celedonio Butawan</t>
  </si>
  <si>
    <t>-Celerina Caybot</t>
  </si>
  <si>
    <t>-Celestina Labartini</t>
  </si>
  <si>
    <t>-Celestino Trangia</t>
  </si>
  <si>
    <t>-Ceriaco Sampalo</t>
  </si>
  <si>
    <t>-Cerilo Manquita</t>
  </si>
  <si>
    <t>-Cesar Caballes</t>
  </si>
  <si>
    <t>Sofronio Raro</t>
  </si>
  <si>
    <t>Valentin Gudio</t>
  </si>
  <si>
    <t>Valerriano Palco</t>
  </si>
  <si>
    <t>Sub total</t>
  </si>
  <si>
    <t>Schedule  7 - 149-OTHER RECEIVABLES</t>
  </si>
  <si>
    <t>Jeffrey's Eatery, over issuance of check</t>
  </si>
  <si>
    <t>-Registration of ACCDC</t>
  </si>
  <si>
    <t>Noel Barabar</t>
  </si>
  <si>
    <t xml:space="preserve">Apolinario  Buñol </t>
  </si>
  <si>
    <t xml:space="preserve">Marites  Lalisan </t>
  </si>
  <si>
    <t xml:space="preserve">Noel  Barabar </t>
  </si>
  <si>
    <t xml:space="preserve">Edgar  Burlat </t>
  </si>
  <si>
    <t>Celedonio  Dejolde, Jr</t>
  </si>
  <si>
    <t xml:space="preserve">Joseph  Doromal  </t>
  </si>
  <si>
    <t>Jose Oriol  Dy ,Jr</t>
  </si>
  <si>
    <t xml:space="preserve">Deanna  Fudalan </t>
  </si>
  <si>
    <t xml:space="preserve">Danilda  Legaspi </t>
  </si>
  <si>
    <t xml:space="preserve">Cynthia  Lumanta </t>
  </si>
  <si>
    <t xml:space="preserve">Adelaida  Padilla </t>
  </si>
  <si>
    <t xml:space="preserve">Danny  Simbre </t>
  </si>
  <si>
    <t>Ven Billy  Antiga</t>
  </si>
  <si>
    <t>Julieto  Gresola</t>
  </si>
  <si>
    <t>Joselito  Guzman</t>
  </si>
  <si>
    <t>-PTC Canteen</t>
  </si>
  <si>
    <t>DA-VAIP GMAP-DEL MONTE</t>
  </si>
  <si>
    <t>DA-VAIP GMAP-PASTA</t>
  </si>
  <si>
    <t>overdraft</t>
  </si>
  <si>
    <t>DA-VAIP GMAP-PULANG LUPA</t>
  </si>
  <si>
    <t>DA-VETERENARIAN</t>
  </si>
  <si>
    <t>DBM for Priority Projects</t>
  </si>
  <si>
    <t>DBM-Budgeting Seminar</t>
  </si>
  <si>
    <t>DBM-Region X</t>
  </si>
  <si>
    <t>DECS</t>
  </si>
  <si>
    <t>Depo. of Espe. Hospi. from Nat'l.</t>
  </si>
  <si>
    <t>liQUIDATION</t>
  </si>
  <si>
    <t>DOH-Health Sector Policy Support Programme</t>
  </si>
  <si>
    <t>DOH-LHSD-OR# 9371124 dated 6/10/05</t>
  </si>
  <si>
    <t>DOH-Lingap Medical Assistance</t>
  </si>
  <si>
    <t>DOH-Local Health Support-Civil Works</t>
  </si>
  <si>
    <t>DOH-Upgrading of Hospitals(BDH)</t>
  </si>
  <si>
    <t>DOH-Upgrading of Hospitals(DOPMH)</t>
  </si>
  <si>
    <t>DOH-Upgrading of Hospitals(EMCH)</t>
  </si>
  <si>
    <t>DOLE Caraga Region Office</t>
  </si>
  <si>
    <t>DOPMH -HSRA</t>
  </si>
  <si>
    <t>149</t>
  </si>
  <si>
    <t xml:space="preserve">Raw Materials Inventory </t>
  </si>
  <si>
    <t>151</t>
  </si>
  <si>
    <t xml:space="preserve">Work-In-Process Inventory </t>
  </si>
  <si>
    <t>152</t>
  </si>
  <si>
    <t xml:space="preserve">Finished Goods Inventory </t>
  </si>
  <si>
    <t>153</t>
  </si>
  <si>
    <t xml:space="preserve">Merchandise Inventory </t>
  </si>
  <si>
    <t>154</t>
  </si>
  <si>
    <t xml:space="preserve">Office Supplies Inventory </t>
  </si>
  <si>
    <t>155</t>
  </si>
  <si>
    <t xml:space="preserve">Accountable Forms Inventory </t>
  </si>
  <si>
    <t>156</t>
  </si>
  <si>
    <t xml:space="preserve">Animal/Zoological Supplies Inventory </t>
  </si>
  <si>
    <t>157</t>
  </si>
  <si>
    <t xml:space="preserve">Food Supplies Inventory </t>
  </si>
  <si>
    <t>158</t>
  </si>
  <si>
    <t xml:space="preserve">Drugs and Medicines Inventory </t>
  </si>
  <si>
    <t>AGUSAN BUILDERS COOPERATIVE (ABCO) (CIDP Patin-ay Lucac FMR)</t>
  </si>
  <si>
    <t>AGUSAN BUILDERS COOPERATIVE (ABCO) ( Construction of Anislagan-JCT Purok 3 FMR, San Luis, ADS)</t>
  </si>
  <si>
    <t>111(9)</t>
  </si>
  <si>
    <t>LM CONSTRUCTION &amp; GEN. MKTG (Const. of Sibagat rural Health Building (Phase 1) located at Sibagat, ADS)</t>
  </si>
  <si>
    <t>EDWARD WOOD FURNITURE,loan assist. 10/30/07</t>
  </si>
  <si>
    <t>-Loan Repayments of MICRO FINANCE PROJECT -ASERVAC</t>
  </si>
  <si>
    <t>-LORETO HOSPITAL -Devolve fund</t>
  </si>
  <si>
    <t>-LORETO HOSPITAL-Revolving Fund-LHSD</t>
  </si>
  <si>
    <t>-Malaria Resource Center</t>
  </si>
  <si>
    <t>-Manila Bulletin</t>
  </si>
  <si>
    <t xml:space="preserve">Adolph Edward G. Plaza-PSF-Operational </t>
  </si>
  <si>
    <t xml:space="preserve">Subsidy to Government Owned and Controlled Corporations </t>
  </si>
  <si>
    <t>875</t>
  </si>
  <si>
    <t xml:space="preserve">Subsidy to NGOs/POs </t>
  </si>
  <si>
    <t>876</t>
  </si>
  <si>
    <t xml:space="preserve">Subsidy to Other Funds </t>
  </si>
  <si>
    <t>877</t>
  </si>
  <si>
    <t xml:space="preserve">Donations </t>
  </si>
  <si>
    <t>878</t>
  </si>
  <si>
    <t xml:space="preserve">Confidential Expenses </t>
  </si>
  <si>
    <t>881</t>
  </si>
  <si>
    <t xml:space="preserve">Intelligence Expenses </t>
  </si>
  <si>
    <t>882</t>
  </si>
  <si>
    <t xml:space="preserve">Extraordinary Expenses </t>
  </si>
  <si>
    <t>883</t>
  </si>
  <si>
    <t xml:space="preserve">Miscellaneous Expenses </t>
  </si>
  <si>
    <t>884</t>
  </si>
  <si>
    <t xml:space="preserve">Taxes, Duties and Licenses </t>
  </si>
  <si>
    <t>891</t>
  </si>
  <si>
    <t xml:space="preserve">Fidelity Bond Premiums </t>
  </si>
  <si>
    <t>892</t>
  </si>
  <si>
    <t>-Adela Lumacang</t>
  </si>
  <si>
    <t>-Adelaida Presioso</t>
  </si>
  <si>
    <t>-Alegria Prochina</t>
  </si>
  <si>
    <t>-Alfonso Costino</t>
  </si>
  <si>
    <t>-Alfredo Ampo</t>
  </si>
  <si>
    <t>-Alfredo Laroda</t>
  </si>
  <si>
    <t>-Amoran Buyog</t>
  </si>
  <si>
    <t>Madjao</t>
  </si>
  <si>
    <t>DISALLOWANCE</t>
  </si>
  <si>
    <t>MADYAW CONST</t>
  </si>
  <si>
    <t>ERROR</t>
  </si>
  <si>
    <t>Mainland Construction</t>
  </si>
  <si>
    <t>Makline Enterprises</t>
  </si>
  <si>
    <t>Marites Furniture</t>
  </si>
  <si>
    <t>AGUSAN PEOPLES HEALTH DEV. FOUNDATION</t>
  </si>
  <si>
    <t>-Loan Assistance to SAFRA-ADAP(ASERVAC)</t>
  </si>
  <si>
    <t>MORAL RECOVERY-</t>
  </si>
  <si>
    <t>-Loan Assistance to WILD TRENDS WOODCRAFT</t>
  </si>
  <si>
    <t>Maginda Cadeliña-2/24-25/07</t>
  </si>
  <si>
    <t>-Samuel Torralba</t>
  </si>
  <si>
    <t>-Santiago Narvaez</t>
  </si>
  <si>
    <t>-Saturnino Minaya</t>
  </si>
  <si>
    <t>-Sebastian Saladaga</t>
  </si>
  <si>
    <t>-Segundina Anino</t>
  </si>
  <si>
    <t>-Sergio Beljano</t>
  </si>
  <si>
    <t>-Silvestre Diendo</t>
  </si>
  <si>
    <t>-Surcharge</t>
  </si>
  <si>
    <t>-Teofilo Edillor</t>
  </si>
  <si>
    <t>-Teofilo Osin</t>
  </si>
  <si>
    <t>-Teresita Nocus</t>
  </si>
  <si>
    <t>-Tito Badajos</t>
  </si>
  <si>
    <t>-Tomas Colorado</t>
  </si>
  <si>
    <t>-Trinidad Rojas</t>
  </si>
  <si>
    <t>-Venancio Dabales</t>
  </si>
  <si>
    <t>-Vicente Arche</t>
  </si>
  <si>
    <t>-Vicente Mejorada</t>
  </si>
  <si>
    <t>-Vicitacion Morales</t>
  </si>
  <si>
    <t>-Victor Duarte</t>
  </si>
  <si>
    <t>-Victor Sabello</t>
  </si>
  <si>
    <t>-Victorino Cellan</t>
  </si>
  <si>
    <t xml:space="preserve">JEV# 301-09-01-0111-UNITED LABORATORIES, INC.-PHRTF-P.O.# 4171-08-DC </t>
  </si>
  <si>
    <t>dated 09/03/08-O.R.# 1256066 dated 12/16/08</t>
  </si>
  <si>
    <t xml:space="preserve">JEV# 301-09-01-0112-ZUELIG PHARMA CORP..-PHRTF-P.O.# 4352-08-DC </t>
  </si>
  <si>
    <t>dated 09/06/08-O.R.# 67037 dated 01/20/09</t>
  </si>
  <si>
    <t xml:space="preserve">JEV# 301-09-01-0113-ZUELIG PHARMA CORP..-PHRTF-P.O.# 4220-08-DC </t>
  </si>
  <si>
    <t>dated 09/08/08-O.R.# 67038 dated 01/20/09</t>
  </si>
  <si>
    <t xml:space="preserve">JEV# 301-09-01-0117.ALAAN PHARMACY.-PHRTF-P.O.# 4704-08-SH </t>
  </si>
  <si>
    <t>11/12/2009 - close and transfer to GF</t>
  </si>
  <si>
    <t>M &amp; F Tradelines</t>
  </si>
  <si>
    <t>M. Abatayo</t>
  </si>
  <si>
    <t>Mindahila Sawmill</t>
  </si>
  <si>
    <t>More Tailorama</t>
  </si>
  <si>
    <t>Multi-Trade</t>
  </si>
  <si>
    <t>New Hervic Com'l.</t>
  </si>
  <si>
    <t>New Hervic Commercial</t>
  </si>
  <si>
    <t>New Surigao</t>
  </si>
  <si>
    <t>Nishimura Shokai C. Ltd.</t>
  </si>
  <si>
    <t>Novie Apit</t>
  </si>
  <si>
    <t>O.I.D.C.</t>
  </si>
  <si>
    <t>Olib Multi Trade Enterprises</t>
  </si>
  <si>
    <t>Olib Ruiz</t>
  </si>
  <si>
    <t>Olib Ruiz Trading</t>
  </si>
  <si>
    <t>JEV# 301-09-06-1069.ZUELLIG PHARMA CORP. -PHRTF-P.O.# 0525-09-DC</t>
  </si>
  <si>
    <t>dated 2/17/09-O.R.# 76075 dated 06/10/09</t>
  </si>
  <si>
    <t>JEV# 301-09-06-1070.ZUELLIG PHARMA CORP. -PHRTF-P.O.# 0524-09-DC</t>
  </si>
  <si>
    <t>dated 2/17/09-O.R.# 76076 dated 06/10/09</t>
  </si>
  <si>
    <t>JEV# 301-09-06-1071.UNITED LABORATORIES, INC. -PHRTF-PO#6031-08-DC</t>
  </si>
  <si>
    <t>dated 12/23/08-O.R.# 1256368 dated 05/08/09</t>
  </si>
  <si>
    <t>JEV# 301-09-06-1072.JNK MEDICAL SALES. -PHRTF-P.O.# 1472-09-SH</t>
  </si>
  <si>
    <t>dated 05/04/09-O.R.# 1296 dated 06/03/09</t>
  </si>
  <si>
    <t>DPWH-SLRF MVUC NRJ Borbon Rd</t>
  </si>
  <si>
    <t>Dream Team Venture</t>
  </si>
  <si>
    <t>-EC-Loreto  Revolving Fund</t>
  </si>
  <si>
    <t>-FAME Repayments</t>
  </si>
  <si>
    <t>-Registration for 1st Basic Tourist Reception &amp; Tour Guiding Technique Training</t>
  </si>
  <si>
    <t>.</t>
  </si>
  <si>
    <t>LGC TRUCKING &amp; CONST.( Const. of Saguma FMR, Bayugan City)</t>
  </si>
  <si>
    <t>LGC TRUCKING &amp; CONST.( Const. of Purok 6-Purok 5 Marcelina FMR, Bayugan City)</t>
  </si>
  <si>
    <t xml:space="preserve">Real Property Tax Receivable </t>
  </si>
  <si>
    <t>127</t>
  </si>
  <si>
    <t xml:space="preserve">Special Education Tax Receivable </t>
  </si>
  <si>
    <t>128</t>
  </si>
  <si>
    <t>Ricky Angwas</t>
  </si>
  <si>
    <t>Eidderf Pendon</t>
  </si>
  <si>
    <t>Dennis Manglicmot</t>
  </si>
  <si>
    <t>JEV# 301-09-09-1712.METRO DRUG INC. -PHRTF-PO#1087-09-DC</t>
  </si>
  <si>
    <t>-Erlinda Saavedra</t>
  </si>
  <si>
    <t>-Erlinda Sequida</t>
  </si>
  <si>
    <t>-Ermada Antivo</t>
  </si>
  <si>
    <t>-Ermanita Sudio</t>
  </si>
  <si>
    <t>-Ernesto Bunilla</t>
  </si>
  <si>
    <t>-Erroneous pymt.</t>
  </si>
  <si>
    <t>-Esmeralda Baron</t>
  </si>
  <si>
    <t>-Guillermo Gordo</t>
  </si>
  <si>
    <t>-Hermes Arante</t>
  </si>
  <si>
    <t>-Herminigildo Lacorte</t>
  </si>
  <si>
    <t>-Hilarion Repiso</t>
  </si>
  <si>
    <t>-Ireneo Potol</t>
  </si>
  <si>
    <t>-Ismael Andico</t>
  </si>
  <si>
    <t>-Jaime Begafria</t>
  </si>
  <si>
    <t>-Jaime Vistal</t>
  </si>
  <si>
    <t>-Johnny Vicente</t>
  </si>
  <si>
    <t>-Josefina Gayoso</t>
  </si>
  <si>
    <t>-Josefina Magbanua</t>
  </si>
  <si>
    <t>-Joseph Ebale</t>
  </si>
  <si>
    <t>-Josephine Antolin</t>
  </si>
  <si>
    <t>-Juana Dalen</t>
  </si>
  <si>
    <t>-Juanito Avila</t>
  </si>
  <si>
    <t xml:space="preserve">Cash - Bangko Sentral ng Pilipinas </t>
  </si>
  <si>
    <t xml:space="preserve">Cash in Bank - Local Currency, Current Account </t>
  </si>
  <si>
    <t xml:space="preserve">Cash in Bank - Local Currency, SavingsAccount </t>
  </si>
  <si>
    <t>-Leo  Ala-an</t>
  </si>
  <si>
    <t>-Leoncia Leones</t>
  </si>
  <si>
    <t>-Leonora Dolatre</t>
  </si>
  <si>
    <t>-Letecia Tandog</t>
  </si>
  <si>
    <t>-LGC Trucking &amp; Construction</t>
  </si>
  <si>
    <t>-Lolita Gunoy</t>
  </si>
  <si>
    <t>-Lolita Villarez</t>
  </si>
  <si>
    <t>-Lorezo Cao</t>
  </si>
  <si>
    <t>-Lorna Mejorada</t>
  </si>
  <si>
    <t>-Lourdes Plando</t>
  </si>
  <si>
    <t>-Lucena Alvarez</t>
  </si>
  <si>
    <t>-Lucila Solon</t>
  </si>
  <si>
    <t>-Lucio Buladaco</t>
  </si>
  <si>
    <t>-Lumin Boholst</t>
  </si>
  <si>
    <t>-Lydia Misola</t>
  </si>
  <si>
    <t>-Macario Gamutan</t>
  </si>
  <si>
    <t>-Magdalina Cabusas</t>
  </si>
  <si>
    <t>-Mamerta Melgar</t>
  </si>
  <si>
    <t>-Mansueta Navas</t>
  </si>
  <si>
    <t>-Manuel Cutao</t>
  </si>
  <si>
    <t>-Marcelino Aparente</t>
  </si>
  <si>
    <t>-Marcelino Husain</t>
  </si>
  <si>
    <t>-Margarita Palomar</t>
  </si>
  <si>
    <t>-Maria Jerry Bello</t>
  </si>
  <si>
    <t>-Mariafe Cano</t>
  </si>
  <si>
    <t>-Marianita Lacre</t>
  </si>
  <si>
    <t>-Marilou Tiposo</t>
  </si>
  <si>
    <t>-Mario Lacson</t>
  </si>
  <si>
    <t>-Mario Rojas</t>
  </si>
  <si>
    <t>-Marlene Martini</t>
  </si>
  <si>
    <t>-Mary Jeanne Dacera</t>
  </si>
  <si>
    <t>-Maximo Virtudazo</t>
  </si>
  <si>
    <t>-Melecio Agacite</t>
  </si>
  <si>
    <t>-Melida Jorda</t>
  </si>
  <si>
    <t>-Meliton Bulaquena</t>
  </si>
  <si>
    <t>-Melquides Merto</t>
  </si>
  <si>
    <t>-Merlinda Torregosa</t>
  </si>
  <si>
    <t>-Milagros Baldoneza</t>
  </si>
  <si>
    <t>-N. Albar</t>
  </si>
  <si>
    <t>-Naomi Perez</t>
  </si>
  <si>
    <t>-Narciso Balaba</t>
  </si>
  <si>
    <t>-Neceforo Quejada</t>
  </si>
  <si>
    <t>-Necomedes Calderon</t>
  </si>
  <si>
    <t>-Necomedes Narciso</t>
  </si>
  <si>
    <t>-Nenita Bayung</t>
  </si>
  <si>
    <t>-Nestor Manlimas</t>
  </si>
  <si>
    <t>-Nita Buque</t>
  </si>
  <si>
    <t>-Norma Lumayno</t>
  </si>
  <si>
    <t>-Opelia Castillo</t>
  </si>
  <si>
    <t>-Orlando Avenida</t>
  </si>
  <si>
    <t>-Oswaldo Dujale</t>
  </si>
  <si>
    <t>-Pablo Deano</t>
  </si>
  <si>
    <t>-Pablo Talisic</t>
  </si>
  <si>
    <t>-Pascual Curitao</t>
  </si>
  <si>
    <t>-Paterna Mariaca</t>
  </si>
  <si>
    <t>-Paterno Bactol</t>
  </si>
  <si>
    <t xml:space="preserve">Blanca  Niog </t>
  </si>
  <si>
    <t xml:space="preserve">Denney  Sasil </t>
  </si>
  <si>
    <t xml:space="preserve">Joanna Carren  Timogan </t>
  </si>
  <si>
    <t xml:space="preserve">Ana  Tiu </t>
  </si>
  <si>
    <t xml:space="preserve">John  Torregoza </t>
  </si>
  <si>
    <t xml:space="preserve">Virginia  Urbiztondo </t>
  </si>
  <si>
    <t>Edgar  Bolotaolo</t>
  </si>
  <si>
    <t>-Regino Tindoy</t>
  </si>
  <si>
    <t>-Remedios Macalit</t>
  </si>
  <si>
    <t>-Remegio Samonte</t>
  </si>
  <si>
    <t>-Restituta Ramos</t>
  </si>
  <si>
    <t>-Ricardo Abrangan</t>
  </si>
  <si>
    <t>-Ricardo Alisoso</t>
  </si>
  <si>
    <t>-Ricardo Zabala</t>
  </si>
  <si>
    <t>-Rodel Casemiro</t>
  </si>
  <si>
    <t>-Rodolfo Estuya</t>
  </si>
  <si>
    <t>-Rodolfo Gumapac</t>
  </si>
  <si>
    <t>-Rodora Anob</t>
  </si>
  <si>
    <t>-Rogelio Lopez</t>
  </si>
  <si>
    <t>-Rogelio Mondejar</t>
  </si>
  <si>
    <t>-Rolando Danlag</t>
  </si>
  <si>
    <t>-Romeo Cultura</t>
  </si>
  <si>
    <t>-Romeo Palmerola</t>
  </si>
  <si>
    <t>-Romualdo Orbiso</t>
  </si>
  <si>
    <t>-Romulo Penaloga</t>
  </si>
  <si>
    <t>dated 06/15/09-O.R.#1298 dated 06/25/09</t>
  </si>
  <si>
    <t xml:space="preserve">Income from Canteen Operations </t>
  </si>
  <si>
    <t>632</t>
  </si>
  <si>
    <t xml:space="preserve">Income from Cemetery Operations </t>
  </si>
  <si>
    <t>633</t>
  </si>
  <si>
    <t xml:space="preserve">Income from Communication Facilities </t>
  </si>
  <si>
    <t>634</t>
  </si>
  <si>
    <t xml:space="preserve">Income from Dormitory Operations </t>
  </si>
  <si>
    <t>635</t>
  </si>
  <si>
    <t xml:space="preserve">Income from Markets </t>
  </si>
  <si>
    <t>636</t>
  </si>
  <si>
    <t xml:space="preserve">Income from Slaughterhouses </t>
  </si>
  <si>
    <t>637</t>
  </si>
  <si>
    <t xml:space="preserve">Income from Transportation Systems </t>
  </si>
  <si>
    <t>638</t>
  </si>
  <si>
    <t>As of  January  31, 2011</t>
  </si>
  <si>
    <t>Costibolo Marketing</t>
  </si>
  <si>
    <t>-FAME Repayments (OFW)</t>
  </si>
  <si>
    <t xml:space="preserve">Documentary Stamps Expenses </t>
  </si>
  <si>
    <t>974</t>
  </si>
  <si>
    <t xml:space="preserve">Interest Expenses </t>
  </si>
  <si>
    <t>975</t>
  </si>
  <si>
    <t xml:space="preserve">Other Financial Charges </t>
  </si>
  <si>
    <t>979</t>
  </si>
  <si>
    <t>Please verify the ff: if not 0</t>
  </si>
  <si>
    <t>Dr vs Cr</t>
  </si>
  <si>
    <t>Presence of accts for SEF use only</t>
  </si>
  <si>
    <t xml:space="preserve">    Special Education Tax Receivable </t>
  </si>
  <si>
    <t xml:space="preserve">    Special Education Tax (Income)</t>
  </si>
  <si>
    <t xml:space="preserve">   Discount on SET</t>
  </si>
  <si>
    <t>-Romulo Yu</t>
  </si>
  <si>
    <t>-Rosalinda Surigao</t>
  </si>
  <si>
    <t>-Rosario Jogasan</t>
  </si>
  <si>
    <t>-Rosendo Bandojo</t>
  </si>
  <si>
    <t>-Rosita Moraga</t>
  </si>
  <si>
    <t>-Rosita Odvina</t>
  </si>
  <si>
    <t>-Rosita Paz</t>
  </si>
  <si>
    <t>-Rudy Juntilla</t>
  </si>
  <si>
    <t>-Ruperto Perla</t>
  </si>
  <si>
    <t>-Rustico Ebale</t>
  </si>
  <si>
    <t>-Salvador Dequita</t>
  </si>
  <si>
    <t>-Salvador Mateo</t>
  </si>
  <si>
    <t>-Sammy Vicente</t>
  </si>
  <si>
    <t>-Samuel Jamandre</t>
  </si>
  <si>
    <t>AGUSAN BUILDERS COOPERATIVE (ABCO) (Rehab. Of NRJ Sitio Unsayawon-Anilawan FMR</t>
  </si>
  <si>
    <t>MADYAW CONST. &amp; DEV'T CORP. (Const. of Flood Control Revetment along Riverbank of Poblacion, Veruela, Phase 1 (Revised 1) Veruela</t>
  </si>
  <si>
    <t>AGUSAN BUILDERS COOPERATIVE (ABCO) ( Const. of Flood Control Revetment along Abut A of JVAR Bridge, Veruela</t>
  </si>
  <si>
    <t>JEV# 301-09-10-2006.ZUELLIG PHARMA CORPORATION -PHRTF-PO#2342-09-DC</t>
  </si>
  <si>
    <t>JEV# 301-09-10-2007.ZUELLIG PHARMA CORPORATION -PHRTF-PO#1361-09-DC</t>
  </si>
  <si>
    <t>dated 04/22/09-OR#2056dated 10/14/09</t>
  </si>
  <si>
    <t>dated 04/22/09-OR#81112 dated 10/29/09</t>
  </si>
  <si>
    <t>dated 07/09/09-OR#81109 dated 10/29/09</t>
  </si>
  <si>
    <t>dated 03/26/09-OR#780864 dated 10/16/09</t>
  </si>
  <si>
    <t>dated 03/17/09-OR.#73181 dated 08/17/09</t>
  </si>
  <si>
    <t>Pulvera Hardware</t>
  </si>
  <si>
    <t>R C S Concrete Products</t>
  </si>
  <si>
    <t>R I T C</t>
  </si>
  <si>
    <t>R Top Printing Press</t>
  </si>
  <si>
    <t>Radio Shack Enterprises</t>
  </si>
  <si>
    <t>2)  Government Equity, Jan. 1</t>
  </si>
  <si>
    <t>Accountant-IV</t>
  </si>
  <si>
    <t>Officer in charge</t>
  </si>
  <si>
    <t>STATEMENT OF CASH FLOWS</t>
  </si>
  <si>
    <t>Cash Inflows</t>
  </si>
  <si>
    <t xml:space="preserve">Depreciation - Leasehold Improvements, Buildings </t>
  </si>
  <si>
    <t>919</t>
  </si>
  <si>
    <t xml:space="preserve">Depreciation - Other Leasehold Improvements </t>
  </si>
  <si>
    <t>920</t>
  </si>
  <si>
    <t xml:space="preserve">Depreciation - Office Equipment </t>
  </si>
  <si>
    <t>921</t>
  </si>
  <si>
    <t xml:space="preserve">Depreciation - Furniture and Fixtures </t>
  </si>
  <si>
    <t>922</t>
  </si>
  <si>
    <t xml:space="preserve">Depreciation - IT Equipment </t>
  </si>
  <si>
    <t>923</t>
  </si>
  <si>
    <t xml:space="preserve">Depreciation - Library Books </t>
  </si>
  <si>
    <t>924</t>
  </si>
  <si>
    <t>-Dario Lumayno</t>
  </si>
  <si>
    <t>-Darlita Dabordabor</t>
  </si>
  <si>
    <t>-Delia Frago</t>
  </si>
  <si>
    <t>301-10-05-0772</t>
  </si>
  <si>
    <t>301-10-05-0825</t>
  </si>
  <si>
    <t>301-10-05-0826</t>
  </si>
  <si>
    <t>301-10-05-0827</t>
  </si>
  <si>
    <t>Elizabeth Gilot</t>
  </si>
  <si>
    <t>301-10-05-0798</t>
  </si>
  <si>
    <t>301-10-05-0799</t>
  </si>
  <si>
    <t>EDTING BUILDERS &amp; CONSTRUCTION SUPPLY(Rehab. Of Angas CIS, Sta. Josefa, ADS)</t>
  </si>
  <si>
    <t>111(39)</t>
  </si>
  <si>
    <t>w/drawn</t>
  </si>
  <si>
    <t>Amparo Prochina</t>
  </si>
  <si>
    <t>Anabelle Escrin</t>
  </si>
  <si>
    <t>-MVGP Caravan 2009</t>
  </si>
  <si>
    <t>-NALIYAGAN</t>
  </si>
  <si>
    <t xml:space="preserve">Other Machineries and Equipment </t>
  </si>
  <si>
    <t>240</t>
  </si>
  <si>
    <t xml:space="preserve">   Accumulated Depreciation - Other Mach. and Equipt.</t>
  </si>
  <si>
    <t>340</t>
  </si>
  <si>
    <t xml:space="preserve">Motor Vehicles </t>
  </si>
  <si>
    <t>241</t>
  </si>
  <si>
    <t xml:space="preserve">   Accumulated Depreciation - Motor Vehicles </t>
  </si>
  <si>
    <t>341</t>
  </si>
  <si>
    <t xml:space="preserve">Trains </t>
  </si>
  <si>
    <t>242</t>
  </si>
  <si>
    <t xml:space="preserve">   Accumulated Depreciation - Trains </t>
  </si>
  <si>
    <t>342</t>
  </si>
  <si>
    <t>JEV# 301-09-07-1286.EURO MED LABORATORIES. -PHRTF-PO#1508-09-DC</t>
  </si>
  <si>
    <t>dated 05/11/09-O.R.#128889 dated 07/30/09</t>
  </si>
  <si>
    <t>JEV# 301-09-07-1287.UNITED LABORATORIES. -PHRTF-PO#1288-09-DC</t>
  </si>
  <si>
    <t>dated 04/15/09-O.R.#1256825 dated 07/20/09</t>
  </si>
  <si>
    <t>JEV# 301-09-07-1288.EURO MED LABORATORIES. -PHRTF-PO#1578-09-DC</t>
  </si>
  <si>
    <t>dated 05/14/09-O.R.#126421 dated 07/30/09</t>
  </si>
  <si>
    <t>JEV# 301-09-10-2012.ZUELLIG PHARMA CORPORATION -PHRTF-PO#2614-09-DC</t>
  </si>
  <si>
    <t>dated 07/31/09-OR#81110 dated 10/29/09</t>
  </si>
  <si>
    <t>JEV# 301-09-10-2013.ZUELLIG PHARMA CORPORATION -PHRTF-PO#3424-09-DC</t>
  </si>
  <si>
    <t>804</t>
  </si>
  <si>
    <t xml:space="preserve">Additional Compensation ( ADCOM) </t>
  </si>
  <si>
    <t>712</t>
  </si>
  <si>
    <t xml:space="preserve">Representation Allowance (RA) </t>
  </si>
  <si>
    <t>713</t>
  </si>
  <si>
    <t xml:space="preserve">Transportation Allowance (TA) </t>
  </si>
  <si>
    <t>714</t>
  </si>
  <si>
    <t xml:space="preserve">Clothing/Uniform Allowance </t>
  </si>
  <si>
    <t>715</t>
  </si>
  <si>
    <t xml:space="preserve">General Services </t>
  </si>
  <si>
    <t>795</t>
  </si>
  <si>
    <t xml:space="preserve">Janitorial Services </t>
  </si>
  <si>
    <t>796</t>
  </si>
  <si>
    <t>dated 07/01/09-O.R.#2176 dated 07/15/09</t>
  </si>
  <si>
    <t>Occupation Tax  **</t>
  </si>
  <si>
    <t>585</t>
  </si>
  <si>
    <t xml:space="preserve">Printing and Publication Tax </t>
  </si>
  <si>
    <t>586</t>
  </si>
  <si>
    <t xml:space="preserve">Property Transfer Tax </t>
  </si>
  <si>
    <t>587</t>
  </si>
  <si>
    <t xml:space="preserve">Real Property Tax </t>
  </si>
  <si>
    <t>588</t>
  </si>
  <si>
    <t xml:space="preserve">Real Property Tax on Idle Lands </t>
  </si>
  <si>
    <t>589</t>
  </si>
  <si>
    <t xml:space="preserve">Special Assessment Tax </t>
  </si>
  <si>
    <t>590</t>
  </si>
  <si>
    <t xml:space="preserve">Special Education Tax </t>
  </si>
  <si>
    <t>591</t>
  </si>
  <si>
    <t xml:space="preserve">Tax on Delivery Trucks and Vans </t>
  </si>
  <si>
    <t>592</t>
  </si>
  <si>
    <t xml:space="preserve">Tax on Sand, Gravel and Other Quarry Products </t>
  </si>
  <si>
    <t>593</t>
  </si>
  <si>
    <t xml:space="preserve">Other Local Taxes </t>
  </si>
  <si>
    <t>598</t>
  </si>
  <si>
    <t xml:space="preserve">Fines and Penalties - Local Taxes </t>
  </si>
  <si>
    <t>599</t>
  </si>
  <si>
    <t xml:space="preserve">Fees on Weights and Measures </t>
  </si>
  <si>
    <t>601</t>
  </si>
  <si>
    <t>Fishery Rental Fees</t>
  </si>
  <si>
    <t>602</t>
  </si>
  <si>
    <t xml:space="preserve">Franchising and Licensing Fees </t>
  </si>
  <si>
    <t>603</t>
  </si>
  <si>
    <t xml:space="preserve">Motor Vehicles Users Charge </t>
  </si>
  <si>
    <t>604</t>
  </si>
  <si>
    <t xml:space="preserve">Permit Fees </t>
  </si>
  <si>
    <t>605</t>
  </si>
  <si>
    <t xml:space="preserve">Registration Fees </t>
  </si>
  <si>
    <t>606</t>
  </si>
  <si>
    <t xml:space="preserve">Other Permits and Licenses </t>
  </si>
  <si>
    <t xml:space="preserve">Repairs and Maintenance - Land Improvements </t>
  </si>
  <si>
    <t>802</t>
  </si>
  <si>
    <t xml:space="preserve">Repairs and Maintenance - Runways/Taxiways </t>
  </si>
  <si>
    <t>803</t>
  </si>
  <si>
    <t xml:space="preserve">Repairs and Maintenance - Electrification, Power and Energy Structures </t>
  </si>
  <si>
    <t>805</t>
  </si>
  <si>
    <t xml:space="preserve">Repairs and Maintenance - Office Buildings </t>
  </si>
  <si>
    <t>811</t>
  </si>
  <si>
    <t xml:space="preserve">Repairs and Maintenance - School Buildings </t>
  </si>
  <si>
    <t>812</t>
  </si>
  <si>
    <t xml:space="preserve">Repairs and Maintenance - Hospitals and Health Centers </t>
  </si>
  <si>
    <t>813</t>
  </si>
  <si>
    <t xml:space="preserve">Repairs and Maintenance - Markets and Slaughterhouses </t>
  </si>
  <si>
    <t>814</t>
  </si>
  <si>
    <t xml:space="preserve">Repairs and Maintenance - Other Structures </t>
  </si>
  <si>
    <t>815</t>
  </si>
  <si>
    <t xml:space="preserve">Repairs and Maintenance - Leasehold Improvements, Land </t>
  </si>
  <si>
    <t>818</t>
  </si>
  <si>
    <t>Elsa Gunay</t>
  </si>
  <si>
    <t>Emelita  Cano</t>
  </si>
  <si>
    <t>Fe Garay</t>
  </si>
  <si>
    <t>Felipe Parilla</t>
  </si>
  <si>
    <t>Ferdinand Perez</t>
  </si>
  <si>
    <t>Fermeliano Café</t>
  </si>
  <si>
    <t>BSWM AGRI</t>
  </si>
  <si>
    <t>Francisco Ayala</t>
  </si>
  <si>
    <t>Francisco Flores</t>
  </si>
  <si>
    <t>Francisco Pobe</t>
  </si>
  <si>
    <t>Hedelita España</t>
  </si>
  <si>
    <t>Janeth Jamorabon</t>
  </si>
  <si>
    <t>Jesus Roy Sagrado</t>
  </si>
  <si>
    <t>Joel Esparagoza</t>
  </si>
  <si>
    <t xml:space="preserve">Medical, Dental and Laboratory Fees </t>
  </si>
  <si>
    <t>619</t>
  </si>
  <si>
    <t>-Tent &amp; Booth rental</t>
  </si>
  <si>
    <t>-Tilapia Fingerlings Revolving  Fund</t>
  </si>
  <si>
    <t>-TINA'S Badminton's Cup</t>
  </si>
  <si>
    <t>-TINA'S Porject Bio-Sand Water Filter</t>
  </si>
  <si>
    <t>DREAM TEAM VENTURE</t>
  </si>
  <si>
    <t>-TRICHODERMA</t>
  </si>
  <si>
    <t>-TLDC</t>
  </si>
  <si>
    <t>-VTF</t>
  </si>
  <si>
    <t>-WATSAN</t>
  </si>
  <si>
    <t>CERTIFIED CORRECT:</t>
  </si>
  <si>
    <t>JOY T. DY-LAGAT, CPA</t>
  </si>
  <si>
    <t>Jerome Montera</t>
  </si>
  <si>
    <t>12/19/06</t>
  </si>
  <si>
    <t>Jovelito Olaer</t>
  </si>
  <si>
    <t xml:space="preserve">                                                                     </t>
  </si>
  <si>
    <t>NOREY'S CRIB &amp; SWING PRODUCTS/NOEL JASO</t>
  </si>
  <si>
    <t>Lydia Tiu</t>
  </si>
  <si>
    <t>Military and Police Equipment  (net)</t>
  </si>
  <si>
    <t>Sports Equipment  (net)</t>
  </si>
  <si>
    <t>Technical and Scientific Equipment  (net)</t>
  </si>
  <si>
    <t>Other Machineries and Equipment  (net)</t>
  </si>
  <si>
    <t xml:space="preserve">Government Equity, Beginning Balance </t>
  </si>
  <si>
    <t xml:space="preserve">                (per BS, as of December 31, 2007)</t>
  </si>
  <si>
    <t>Add  Retained Operating Surplus:</t>
  </si>
  <si>
    <r>
      <t xml:space="preserve">         Current Operations (</t>
    </r>
    <r>
      <rPr>
        <i/>
        <sz val="10"/>
        <rFont val="Arial"/>
        <family val="2"/>
      </rPr>
      <t>Net Income/Loss per SIE)</t>
    </r>
  </si>
  <si>
    <r>
      <t xml:space="preserve">         Prior Years’ Adjustments (</t>
    </r>
    <r>
      <rPr>
        <i/>
        <sz val="10"/>
        <rFont val="Arial"/>
        <family val="2"/>
      </rPr>
      <t>Bal.per Pre-closing Trial Balance)</t>
    </r>
  </si>
  <si>
    <t>Less: Transfer of Public Infrastructure</t>
  </si>
  <si>
    <t>TOTAL</t>
  </si>
  <si>
    <t>Add/Deduct: Transfer from( to)</t>
  </si>
  <si>
    <t xml:space="preserve">          Transfer of PPE/Completed projects from Trust </t>
  </si>
  <si>
    <t xml:space="preserve">          Fund/General Fund/Other Fund</t>
  </si>
  <si>
    <t xml:space="preserve">          Transfer of PPE/Completed projects to General Fund/Other Fund</t>
  </si>
  <si>
    <t>301-10-06-0979</t>
  </si>
  <si>
    <t xml:space="preserve">          Transfer of completed Projects to Registry:</t>
  </si>
  <si>
    <t xml:space="preserve">                       Public Infrastructure</t>
  </si>
  <si>
    <t xml:space="preserve">                       Reforestation Projects</t>
  </si>
  <si>
    <t xml:space="preserve">          Transfer of PPE/completed projects from Other LGU</t>
  </si>
  <si>
    <t xml:space="preserve">          Transfer of PPE/completed projects to Other LGUs</t>
  </si>
  <si>
    <t xml:space="preserve">          Other Adjustments </t>
  </si>
  <si>
    <t>Government Equity, Ending Balance</t>
  </si>
  <si>
    <t xml:space="preserve">          (per BS as of December 31, 2008 )</t>
  </si>
  <si>
    <t xml:space="preserve">Computations: </t>
  </si>
  <si>
    <t>1) Prior Years' Adjustments</t>
  </si>
  <si>
    <t>F. Mar Marketing</t>
  </si>
  <si>
    <t>Felix Uy</t>
  </si>
  <si>
    <t>Felna Printing</t>
  </si>
  <si>
    <t>Felna Printing Press</t>
  </si>
  <si>
    <t>Fit &amp; Son Concrete Products</t>
  </si>
  <si>
    <t>FMP Marketing</t>
  </si>
  <si>
    <t>Fountain Head</t>
  </si>
  <si>
    <t>G. L. Distributor</t>
  </si>
  <si>
    <t>Gaisano Enterpace</t>
  </si>
  <si>
    <t>Gaisano Mall</t>
  </si>
  <si>
    <t>Gilmore Espia</t>
  </si>
  <si>
    <t>GL Distributors</t>
  </si>
  <si>
    <t>GLOBAL CHIPS</t>
  </si>
  <si>
    <t>GM ENTERPRISE</t>
  </si>
  <si>
    <t>Golden Bill Grand</t>
  </si>
  <si>
    <t>Green Agro</t>
  </si>
  <si>
    <t>TRANSPORTATION EQUIPMENT</t>
  </si>
  <si>
    <t>Motor Vehicles  (net)</t>
  </si>
  <si>
    <t>Trains (net)</t>
  </si>
  <si>
    <t>F S D C</t>
  </si>
  <si>
    <t>Cagayan Educational Supply</t>
  </si>
  <si>
    <t>Carlito Capol</t>
  </si>
  <si>
    <t>CBBI</t>
  </si>
  <si>
    <t>Celsa S. Sanchez</t>
  </si>
  <si>
    <t>Centierrez Marketing</t>
  </si>
  <si>
    <t>Charmie Enterprises</t>
  </si>
  <si>
    <t>Chors Lug Trading</t>
  </si>
  <si>
    <t>Columbia Comp. Ctr.</t>
  </si>
  <si>
    <t xml:space="preserve">   Accumulated Depreciation - Electrification, Power and Energy</t>
  </si>
  <si>
    <t xml:space="preserve">Office Buildings </t>
  </si>
  <si>
    <t>211</t>
  </si>
  <si>
    <t xml:space="preserve">Awards and Indemnities </t>
  </si>
  <si>
    <t>779</t>
  </si>
  <si>
    <t xml:space="preserve">   Accumulated Depreciation - Other Machineries and Equipment </t>
  </si>
  <si>
    <t>CIDP-Alegria-Supon FMR</t>
  </si>
  <si>
    <t>CIDP-PRJ San Isidro Access Road</t>
  </si>
  <si>
    <t>Patin-ay Creek Bridging Project</t>
  </si>
  <si>
    <t>CIDP Alegria-Supon FMR</t>
  </si>
  <si>
    <t>CIDP San Isidro Access Road</t>
  </si>
  <si>
    <t>AM Golden Auto Parts</t>
  </si>
  <si>
    <t>-LGU Share from Confiscated Logs</t>
  </si>
  <si>
    <t>301-10-03-0565</t>
  </si>
  <si>
    <t>301-10-03-0566</t>
  </si>
  <si>
    <t>301-10-03-0568</t>
  </si>
  <si>
    <t>301-10-03-0569</t>
  </si>
  <si>
    <t>301-10-03-0466</t>
  </si>
  <si>
    <t>301-10-03-0438</t>
  </si>
  <si>
    <t>301-10-03-0517</t>
  </si>
  <si>
    <t>301-10-03-0518</t>
  </si>
  <si>
    <t>AGUSAN BUILDERS COOPERATIVE (ABCO) ( NRJ Alegria-sitio Supon FMR)</t>
  </si>
  <si>
    <t>SELAP-ADS Goat Program 2008</t>
  </si>
  <si>
    <t>SELAP-Baka Alang sa Kauswagan sa ADS (BAKAS) 2008</t>
  </si>
  <si>
    <t>Columbia Computer Center</t>
  </si>
  <si>
    <t>COMPAÑERO COM.</t>
  </si>
  <si>
    <t>Conpinco Trading</t>
  </si>
  <si>
    <t>Crisanto Cebrian</t>
  </si>
  <si>
    <t>Cristal Press</t>
  </si>
  <si>
    <t>Crystals Press</t>
  </si>
  <si>
    <t>Cuadra Printing</t>
  </si>
  <si>
    <t>Datalan Commu.</t>
  </si>
  <si>
    <t>Davao Import</t>
  </si>
  <si>
    <t>Dayot Plant Nursery</t>
  </si>
  <si>
    <t>Digna Numeron</t>
  </si>
  <si>
    <t>DIMDI</t>
  </si>
  <si>
    <t>Dionesio Escaril</t>
  </si>
  <si>
    <t>Dionesio Ong</t>
  </si>
  <si>
    <t>Division School Superintendent</t>
  </si>
  <si>
    <t>Diwata Farm Supply</t>
  </si>
  <si>
    <t>Dod's Auto Parts</t>
  </si>
  <si>
    <t>Dod's Auto Parts &amp; Gen.Mrktg.</t>
  </si>
  <si>
    <t>Dr. Edilberto Dieso</t>
  </si>
  <si>
    <t>Dumas San Franz</t>
  </si>
  <si>
    <t>Dyteban Hardware</t>
  </si>
  <si>
    <t>WOMEN'S HEALTH AND SAFE MOTHERHOOD</t>
  </si>
  <si>
    <t>Schedule 10 - 418- DUE TO LGU'S</t>
  </si>
  <si>
    <t>BDH AREA HEALTH ZONE ASSISTANCE FROM LGU'S</t>
  </si>
  <si>
    <t>LGU Subsidy Bio-Seeds</t>
  </si>
  <si>
    <t>LGU Counterpart to Agusan Marsh</t>
  </si>
  <si>
    <t>LGU Counterpart to Barangay Food Terminal</t>
  </si>
  <si>
    <t xml:space="preserve">   Accumulated Depreciation - Hospitals and Health Centers </t>
  </si>
  <si>
    <t>313</t>
  </si>
  <si>
    <t xml:space="preserve">Markets and Slaughterhouses  </t>
  </si>
  <si>
    <t>214</t>
  </si>
  <si>
    <t>ME3 Construction ( Const. of San Jose-Sayon FMR, Sta. Josefa, ADS)</t>
  </si>
  <si>
    <t>-Datu Lipus Makapandong Eco-Tourism</t>
  </si>
  <si>
    <t>LGU Counterpart to  HIGHWAYElectrification (Sibagat ADS)</t>
  </si>
  <si>
    <t>11/07/08 C/A DM Castro</t>
  </si>
  <si>
    <t>LGU Counterpart to  HIGHWAYElectrification (SAN FRANSCISCO)</t>
  </si>
  <si>
    <t>LGU Counterpart to Sub-Division of Brgy. Lucac</t>
  </si>
  <si>
    <t xml:space="preserve">   Accumulated Depreciation - Markets and Slaughterhouses </t>
  </si>
  <si>
    <t>314</t>
  </si>
  <si>
    <t xml:space="preserve">Other Structures </t>
  </si>
  <si>
    <t>215</t>
  </si>
  <si>
    <t xml:space="preserve">   Accumulated Depreciation - Other Structures</t>
  </si>
  <si>
    <t>315</t>
  </si>
  <si>
    <t xml:space="preserve">Leasehold Improvements, Land </t>
  </si>
  <si>
    <t>218</t>
  </si>
  <si>
    <t xml:space="preserve">   Accumulated Depreciation - Leasehold Improvements, Land </t>
  </si>
  <si>
    <t>318</t>
  </si>
  <si>
    <t xml:space="preserve">Leasehold Improvements, Buildings </t>
  </si>
  <si>
    <t>219</t>
  </si>
  <si>
    <t xml:space="preserve">   Accumulated Depreciation - Leasehold Improvements, Buildings </t>
  </si>
  <si>
    <t>319</t>
  </si>
  <si>
    <t xml:space="preserve">Other Leasehold Improvements </t>
  </si>
  <si>
    <t>220</t>
  </si>
  <si>
    <t>Butuan Champion Hardware</t>
  </si>
  <si>
    <t>Butuan L &amp; A TRADING</t>
  </si>
  <si>
    <t>Byteword Computer</t>
  </si>
  <si>
    <t>Byteworld Computer</t>
  </si>
  <si>
    <t xml:space="preserve">Due to LGUs </t>
  </si>
  <si>
    <t xml:space="preserve">Agricultural, Fishery and Forestry Equipment </t>
  </si>
  <si>
    <t>227</t>
  </si>
  <si>
    <t xml:space="preserve">   Accumulated Depreciation - Agricultural, Fishery and Forestry</t>
  </si>
  <si>
    <t>327</t>
  </si>
  <si>
    <t xml:space="preserve">Airport Equipment </t>
  </si>
  <si>
    <t>228</t>
  </si>
  <si>
    <t xml:space="preserve">   Accumulated Depreciation - Airport Equipment </t>
  </si>
  <si>
    <t>328</t>
  </si>
  <si>
    <t xml:space="preserve">Communication Equipment </t>
  </si>
  <si>
    <t>229</t>
  </si>
  <si>
    <t xml:space="preserve">   Accumulated Depreciation - Communication Equipt. </t>
  </si>
  <si>
    <t>329</t>
  </si>
  <si>
    <t xml:space="preserve">Construction and Heavy Equipment </t>
  </si>
  <si>
    <t>230</t>
  </si>
  <si>
    <t xml:space="preserve">Subsistence, Laundry and Quarter Allowance </t>
  </si>
  <si>
    <t>716</t>
  </si>
  <si>
    <t xml:space="preserve">Productivity Incentive Allowance </t>
  </si>
  <si>
    <t>717</t>
  </si>
  <si>
    <t xml:space="preserve">Overseas Allowance </t>
  </si>
  <si>
    <t>718</t>
  </si>
  <si>
    <t xml:space="preserve">Traveling Expenses - Local </t>
  </si>
  <si>
    <t>751</t>
  </si>
  <si>
    <t xml:space="preserve">Traveling Expenses - Foreign </t>
  </si>
  <si>
    <t>752</t>
  </si>
  <si>
    <t xml:space="preserve">Training Expenses </t>
  </si>
  <si>
    <t>753</t>
  </si>
  <si>
    <t xml:space="preserve">Scholarship Expenses </t>
  </si>
  <si>
    <t>754</t>
  </si>
  <si>
    <t xml:space="preserve">Office Supplies Expenses </t>
  </si>
  <si>
    <t>755</t>
  </si>
  <si>
    <t xml:space="preserve">Accountable Forms Expenses </t>
  </si>
  <si>
    <t>756</t>
  </si>
  <si>
    <t xml:space="preserve">Animal/Zoological Supplies Expenses </t>
  </si>
  <si>
    <t>757</t>
  </si>
  <si>
    <t xml:space="preserve">Food Supplies Expenses </t>
  </si>
  <si>
    <t>758</t>
  </si>
  <si>
    <t xml:space="preserve">Drugs and Medicines Expenses </t>
  </si>
  <si>
    <t>759</t>
  </si>
  <si>
    <t xml:space="preserve">Medical, Dental and Laboratory Supplies Expenses </t>
  </si>
  <si>
    <t>760</t>
  </si>
  <si>
    <t xml:space="preserve">Gasoline, Oil and Lubricants Expenses </t>
  </si>
  <si>
    <t>761</t>
  </si>
  <si>
    <t xml:space="preserve">Agricultural Supplies Expenses </t>
  </si>
  <si>
    <t>762</t>
  </si>
  <si>
    <t xml:space="preserve">Textbooks and Instructional Materials Expenses </t>
  </si>
  <si>
    <t>763</t>
  </si>
  <si>
    <t xml:space="preserve">Military and Police Supplies Expenses </t>
  </si>
  <si>
    <t>764</t>
  </si>
  <si>
    <t xml:space="preserve">Other Supplies Expenses </t>
  </si>
  <si>
    <t>765</t>
  </si>
  <si>
    <t xml:space="preserve">Water Expenses </t>
  </si>
  <si>
    <t>766</t>
  </si>
  <si>
    <t xml:space="preserve">Electricity Expenses </t>
  </si>
  <si>
    <t>767</t>
  </si>
  <si>
    <t xml:space="preserve">Cooking Gas Expenses </t>
  </si>
  <si>
    <t>768</t>
  </si>
  <si>
    <t xml:space="preserve">Postage and Deliveries </t>
  </si>
  <si>
    <t>771</t>
  </si>
  <si>
    <t xml:space="preserve">Telephone Expenses - Landline </t>
  </si>
  <si>
    <t>772</t>
  </si>
  <si>
    <t xml:space="preserve">Telephone Expenses - Mobile </t>
  </si>
  <si>
    <t>773</t>
  </si>
  <si>
    <t xml:space="preserve">Internet Expenses </t>
  </si>
  <si>
    <t>774</t>
  </si>
  <si>
    <t xml:space="preserve">Cable, Satellite, Telegraph, and Radio Expenses </t>
  </si>
  <si>
    <t>775</t>
  </si>
  <si>
    <t>St. Elijah Bagmaker</t>
  </si>
  <si>
    <t>SERGIO SANCHEZ</t>
  </si>
  <si>
    <t>RUDY AGUILAR</t>
  </si>
  <si>
    <t>Pamela Yucosing</t>
  </si>
  <si>
    <t>Paperio Galido</t>
  </si>
  <si>
    <t>Paul Salinas</t>
  </si>
  <si>
    <t>Reinerio Jalalon</t>
  </si>
  <si>
    <t>Richard Torralba</t>
  </si>
  <si>
    <t>Rodel Manglungsod</t>
  </si>
  <si>
    <t>Romeo Branzuela</t>
  </si>
  <si>
    <t>Roselie Torralba</t>
  </si>
  <si>
    <t>return of C/A &amp; pay't of VAT deposited to GF</t>
  </si>
  <si>
    <t xml:space="preserve">                                                                                                                                                        </t>
  </si>
  <si>
    <t xml:space="preserve">                                                                                                           </t>
  </si>
  <si>
    <t xml:space="preserve">Honoraria </t>
  </si>
  <si>
    <t>720</t>
  </si>
  <si>
    <t xml:space="preserve">Hazard Pay </t>
  </si>
  <si>
    <t>721</t>
  </si>
  <si>
    <t xml:space="preserve">Longevity Pay </t>
  </si>
  <si>
    <t>722</t>
  </si>
  <si>
    <t xml:space="preserve">Overtime and Night Pay </t>
  </si>
  <si>
    <t>723</t>
  </si>
  <si>
    <t xml:space="preserve">Other Supplies Inventory </t>
  </si>
  <si>
    <t xml:space="preserve">Confiscated/Abandoned/Seized Goods Inventory </t>
  </si>
  <si>
    <t xml:space="preserve">Spare Parts Inventory </t>
  </si>
  <si>
    <t xml:space="preserve">Construction Materials Inventory </t>
  </si>
  <si>
    <t>168</t>
  </si>
  <si>
    <t xml:space="preserve">JEV# 301-09-02-0333.UNITED LABORATORIES, INC.-PHRTF-P.O.# 5105-08-DC </t>
  </si>
  <si>
    <t>dated 11/04/08-O.R.# 1256100 dated 01/27/09</t>
  </si>
  <si>
    <t xml:space="preserve">JEV# 301-09-02-0334.UNITED LABORATORIES, INC.-PHRTF-P.O.# 5108-08-DC </t>
  </si>
  <si>
    <t>dated 11/04/08-O.R.# 1256251 dated 01/27/09</t>
  </si>
  <si>
    <t>Standard Insurance Co.</t>
  </si>
  <si>
    <t>Star Cellular</t>
  </si>
  <si>
    <t>Stronghold Ins. Co.</t>
  </si>
  <si>
    <t>Sungold</t>
  </si>
  <si>
    <t>Sunlite Electrical Supplies</t>
  </si>
  <si>
    <t>Sweet Maricel Dacera</t>
  </si>
  <si>
    <t>T. B. Aganap Sand &amp; Gravel</t>
  </si>
  <si>
    <t>Tam's Emporium</t>
  </si>
  <si>
    <t>Tangile Builders &amp; Const.</t>
  </si>
  <si>
    <t>Techno Structure Construction &amp; Dev't. Corp.</t>
  </si>
  <si>
    <t>TM Trading</t>
  </si>
  <si>
    <t>TN Promed Pharmaceuticals</t>
  </si>
  <si>
    <t>Tomas Jose Enterprises</t>
  </si>
  <si>
    <t>Transport Automotive</t>
  </si>
  <si>
    <t>Venus</t>
  </si>
  <si>
    <t>Venus Drug House</t>
  </si>
  <si>
    <t>Western Educational Supply</t>
  </si>
  <si>
    <t>Wheels Parts</t>
  </si>
  <si>
    <t>Williard Enterprises</t>
  </si>
  <si>
    <t>Yu Yek Dy</t>
  </si>
  <si>
    <t>Schedule 14-439-OTHER PAYABLES</t>
  </si>
  <si>
    <t>-Accountants Reg. Fee</t>
  </si>
  <si>
    <t>-Agri Product</t>
  </si>
  <si>
    <t>-AGUSAN MARSH Workshop Fucos</t>
  </si>
  <si>
    <t>-Aid to Sportfest</t>
  </si>
  <si>
    <t>-Amort. Of Patin-ay Resettlement Proj.</t>
  </si>
  <si>
    <t>-Amort. Of Tulay ng Pangulo</t>
  </si>
  <si>
    <t>-Anti Rabies</t>
  </si>
  <si>
    <t>-Assessor's Fund</t>
  </si>
  <si>
    <t>-BALIK BUHIS PROGRAM</t>
  </si>
  <si>
    <t>-Barangay Anahawan</t>
  </si>
  <si>
    <t>-Basilan Chicken (VEterinary)</t>
  </si>
  <si>
    <t>-BDH Revolving Fund-LHSD</t>
  </si>
  <si>
    <t>-Botica Sa Barangay-Duangan, Esperanza</t>
  </si>
  <si>
    <t>-Botica Sa Barangay-Magkiangkang, Bayugan City</t>
  </si>
  <si>
    <t>-BUPSHAI</t>
  </si>
  <si>
    <t>-Calamity Fund from league of municipalities</t>
  </si>
  <si>
    <t>-CIDP Drying Fees</t>
  </si>
  <si>
    <t>-Documentary Stamp</t>
  </si>
  <si>
    <t>-Donations to PEO</t>
  </si>
  <si>
    <t>-DOPMH-AFFILIATION</t>
  </si>
  <si>
    <t>-DOPMH-VOLUNTARY BLOOD DONORS</t>
  </si>
  <si>
    <t>-DOPMH Revolving Fund-LHSD</t>
  </si>
  <si>
    <t>-DOPMH Revolving Fund-PHRTF</t>
  </si>
  <si>
    <t>-DUPLO</t>
  </si>
  <si>
    <t>-EMCH Esperanza(Devolve Fund )</t>
  </si>
  <si>
    <t>01/25/07</t>
  </si>
  <si>
    <t>-Filipinas Palm Oil-LOG CABIN</t>
  </si>
  <si>
    <t>DUPLOP-</t>
  </si>
  <si>
    <t>-Goat Production Seminar</t>
  </si>
  <si>
    <t>-Governor's &amp; Congressman's Cup Bond</t>
  </si>
  <si>
    <t>-Health Certificate (PVO)</t>
  </si>
  <si>
    <t>-HYBRID SEEDS</t>
  </si>
  <si>
    <t>Davao Seed Producer Coop., pay't. of hybrid seeds</t>
  </si>
  <si>
    <t>03/24/09</t>
  </si>
  <si>
    <t>-IDINAUS</t>
  </si>
  <si>
    <t>-ITU</t>
  </si>
  <si>
    <t xml:space="preserve">-ISDA </t>
  </si>
  <si>
    <t>BALANCE</t>
  </si>
  <si>
    <t>WILPER CONSTRUCTION, INC. (Const. of flood control revetment along riverbank of Poblacion Veruela (phase 2)</t>
  </si>
  <si>
    <t>-Pasko Sa Kapitolyo and Booth Rental 2010</t>
  </si>
  <si>
    <t>ROMANA BAGTILAY (OFW)</t>
  </si>
  <si>
    <t>CHERRY VEE YTAC (OFW)</t>
  </si>
  <si>
    <t>Vincent Ferolin</t>
  </si>
  <si>
    <t>Eric Jay Malingin</t>
  </si>
  <si>
    <t>WILPER CONSTRUCTION, INC. (Const. of flood control revetment along riverbank of Tapaz, Sta. Josefa, ADS)</t>
  </si>
  <si>
    <t>ME3 Construction ( Rechanneling of Bahayan River, Trento, ADS))</t>
  </si>
  <si>
    <t>JEV# 301-09-06-1075.JNK MEDICAL SALES. -PHRTF-P.O.# 1461-09-SH</t>
  </si>
  <si>
    <t>dated 05/04/09-O.R.#2159 dated 06/11/09</t>
  </si>
  <si>
    <t>JEV# 301-09-06-1102.JNK MEDICAL SALES. -LHSD-P.O.#1960-09-SH</t>
  </si>
  <si>
    <t xml:space="preserve">   Accumulated Depreciation - Construction and Heavy Equipment</t>
  </si>
  <si>
    <t>330</t>
  </si>
  <si>
    <t xml:space="preserve">Firefighting Equipment and Accessories </t>
  </si>
  <si>
    <t>231</t>
  </si>
  <si>
    <t xml:space="preserve">   Accumulated Depreciation - Firefighting Equipment and Accessories </t>
  </si>
  <si>
    <t>331</t>
  </si>
  <si>
    <t xml:space="preserve">Hospital Equipment </t>
  </si>
  <si>
    <t>232</t>
  </si>
  <si>
    <t xml:space="preserve">   Accumulated Depreciation - Hospital Equipment</t>
  </si>
  <si>
    <t>332</t>
  </si>
  <si>
    <t xml:space="preserve">Medical, Dental and Laboratory Equipment </t>
  </si>
  <si>
    <t>233</t>
  </si>
  <si>
    <t>GSP</t>
  </si>
  <si>
    <t>Physical Fitness &amp; Sports Development</t>
  </si>
  <si>
    <t>POPCOM</t>
  </si>
  <si>
    <t>Provincial Reconciliation &amp; Development Council</t>
  </si>
  <si>
    <t>PSF-for socio civic assistance</t>
  </si>
  <si>
    <t>CDF</t>
  </si>
  <si>
    <t>PSF-GOVERNOR'S GUEST HOUSE</t>
  </si>
  <si>
    <t>Rehabilitation of Bayugan-Marcelina-Dona Maxima</t>
  </si>
  <si>
    <t>RW3SP</t>
  </si>
  <si>
    <t>RELEASES</t>
  </si>
  <si>
    <t>PSF-PREVIOUS</t>
  </si>
  <si>
    <t>RW3SP-Freight &amp; Handling Cash Advance</t>
  </si>
  <si>
    <t>Daisy Sasil, c/a-By D. Castro req</t>
  </si>
  <si>
    <t>09/11/06</t>
  </si>
  <si>
    <t>RW3SP-Loan 1440</t>
  </si>
  <si>
    <t>RW3SP-Loan 1441</t>
  </si>
  <si>
    <t>Seed Money-BLSB-MLG (1983)</t>
  </si>
  <si>
    <t>SELAP(Support to Emergency Livelihood Assistance Program)</t>
  </si>
  <si>
    <t>Agapito Sanchez</t>
  </si>
  <si>
    <t>ACT FOR PEACE PROGRAM (SARAS)</t>
  </si>
  <si>
    <t>DPWH-SLRF MVUC Illumination</t>
  </si>
  <si>
    <t>DPWH-SLRF MVUC FMR</t>
  </si>
  <si>
    <t>CIDP Const. Anislagan Junction-P3, San Luis, ADS</t>
  </si>
  <si>
    <t>LDAP-RPTA</t>
  </si>
  <si>
    <t>Maitom Bridge</t>
  </si>
  <si>
    <t>LWUA - Rural Waterworks System</t>
  </si>
  <si>
    <t>MALARIA CONTROL OPERATION</t>
  </si>
  <si>
    <t>Manila Bulletin</t>
  </si>
  <si>
    <t>MINSSAD</t>
  </si>
  <si>
    <t>MSSD Day Care</t>
  </si>
  <si>
    <t>MINSSAD-PRE ENG'NG.</t>
  </si>
  <si>
    <t>NDCC - DND</t>
  </si>
  <si>
    <t>NHA-Final billing of Patin-ay Resettlement</t>
  </si>
  <si>
    <t>NHA-Lingap sa Mahirap</t>
  </si>
  <si>
    <t>NHA-Lingap sa Mahirap(Brgy. 5)</t>
  </si>
  <si>
    <t>OP-NPUDC</t>
  </si>
  <si>
    <t>PCAMRD-DOST (Aqua Culture Technology)</t>
  </si>
  <si>
    <t>(41)DBP</t>
  </si>
  <si>
    <t>-DOPMH EC Revolving Fund</t>
  </si>
  <si>
    <t>CIDP- Patin-ay Lucac FMR (phase 2)</t>
  </si>
  <si>
    <t>OIC- Provincial Accountant</t>
  </si>
  <si>
    <t>balance sheet balance</t>
  </si>
  <si>
    <t>Cash at the End of the Period</t>
  </si>
  <si>
    <t>Cash at the Beginning of the Period</t>
  </si>
  <si>
    <t>Net Cash Provided By (Used in)</t>
  </si>
  <si>
    <t>Cash Provided by (Used In)</t>
  </si>
  <si>
    <t>Total Cash Outflows</t>
  </si>
  <si>
    <t>444-445, 450</t>
  </si>
  <si>
    <t>DR</t>
  </si>
  <si>
    <t xml:space="preserve">Payment of Loan Amortization </t>
  </si>
  <si>
    <t>441-443</t>
  </si>
  <si>
    <t>Retirement/Redemption of Debt Securities</t>
  </si>
  <si>
    <t>Cash Outflows</t>
  </si>
  <si>
    <t>Total Cash Inflows</t>
  </si>
  <si>
    <t>CR</t>
  </si>
  <si>
    <t>Acquisition of Loan</t>
  </si>
  <si>
    <t>Issuance of Debt Securities</t>
  </si>
  <si>
    <t xml:space="preserve">Cash Flows From Financing Activities </t>
  </si>
  <si>
    <t>Grant/Loans to other Entities</t>
  </si>
  <si>
    <t>191, 193, 192, 197, 198</t>
  </si>
  <si>
    <t>Purchase of Debt Securities of the Other Entities</t>
  </si>
  <si>
    <t>ALL PPEs</t>
  </si>
  <si>
    <t>Purchase of Property, Plant and Equipment and Public 
Infrastructures</t>
  </si>
  <si>
    <t>124-126</t>
  </si>
  <si>
    <t>Collection of Principal on Loans to Other Entities</t>
  </si>
  <si>
    <t>Sale of Debt Securities of Other Entities</t>
  </si>
  <si>
    <t>ALL PPEs disposed net of accu. Depn. Plus gainon sale</t>
  </si>
  <si>
    <t>Sale of Property, Plant and Equipment</t>
  </si>
  <si>
    <t>Cash Flows From Investing Activities</t>
  </si>
  <si>
    <r>
      <t xml:space="preserve">751-754, 766-768, 771-775, 778-788, 791-797, 799, 802, 805, 811-815, 818-820, 821-823, 826-827, 829-836, 840-841, 848, 850, 851-857, 860-862, 871-878, 881-884, 891-893, 969, 971, 972, 974, 979, 177-182, 185, 186, 189, 401, 402, 412-418, 424, 426, 427, 429, 439, </t>
    </r>
    <r>
      <rPr>
        <sz val="11"/>
        <color rgb="FFFF0000"/>
        <rFont val="Calibri"/>
        <family val="2"/>
        <scheme val="minor"/>
      </rPr>
      <t>138, 139,149</t>
    </r>
  </si>
  <si>
    <t>Other Disbursements</t>
  </si>
  <si>
    <t>975, 409</t>
  </si>
  <si>
    <t>Interest Expense</t>
  </si>
  <si>
    <r>
      <t xml:space="preserve">701-707, 711-725, 731-734, 738-743, 749, 403, </t>
    </r>
    <r>
      <rPr>
        <sz val="11"/>
        <color rgb="FFFF0000"/>
        <rFont val="Calibri"/>
        <family val="2"/>
        <scheme val="minor"/>
      </rPr>
      <t>148</t>
    </r>
  </si>
  <si>
    <t>Employees</t>
  </si>
  <si>
    <t>755-765, 151, 154, 155-165, 167-170, 176</t>
  </si>
  <si>
    <t>Suppliers/Creditors</t>
  </si>
  <si>
    <t xml:space="preserve">Payments to - </t>
  </si>
  <si>
    <r>
      <t xml:space="preserve">601-603, 605, 606, 608-609, 662, 663, 667-671, 678, 679, 652, 656, 657, 121-123, 136-139, 144, 146, </t>
    </r>
    <r>
      <rPr>
        <sz val="11"/>
        <color rgb="FFFF0000"/>
        <rFont val="Calibri"/>
        <family val="2"/>
        <scheme val="minor"/>
      </rPr>
      <t xml:space="preserve">148, </t>
    </r>
    <r>
      <rPr>
        <sz val="11"/>
        <color theme="1"/>
        <rFont val="Calibri"/>
        <family val="2"/>
        <scheme val="minor"/>
      </rPr>
      <t>149, 413-418, 424, 426, 427, 439, 451, 452, 455</t>
    </r>
    <r>
      <rPr>
        <sz val="11"/>
        <color rgb="FFFF0000"/>
        <rFont val="Calibri"/>
        <family val="2"/>
        <scheme val="minor"/>
      </rPr>
      <t>, 403</t>
    </r>
  </si>
  <si>
    <t xml:space="preserve">CR </t>
  </si>
  <si>
    <t>Other Receipts</t>
  </si>
  <si>
    <t>Dividend Income</t>
  </si>
  <si>
    <t>Interest Income</t>
  </si>
  <si>
    <t>611-624, 628, 629, 631-644, 648, 649, 666,</t>
  </si>
  <si>
    <t>Receipts from sale of goods and services</t>
  </si>
  <si>
    <t xml:space="preserve"> 581-593, 598-599, 127-128, 129,</t>
  </si>
  <si>
    <t>Collection from Taxpayers</t>
  </si>
  <si>
    <t>Share from Internal Revenue Allotment</t>
  </si>
  <si>
    <t>Cash Flows From Operating Activities</t>
  </si>
  <si>
    <t>notes</t>
  </si>
  <si>
    <t>For the Year Ended December 31, 2010</t>
  </si>
  <si>
    <t>cash trnsactions</t>
  </si>
  <si>
    <t xml:space="preserve">Debit </t>
  </si>
  <si>
    <t>for</t>
  </si>
  <si>
    <t>as of</t>
  </si>
</sst>
</file>

<file path=xl/styles.xml><?xml version="1.0" encoding="utf-8"?>
<styleSheet xmlns="http://schemas.openxmlformats.org/spreadsheetml/2006/main">
  <numFmts count="2">
    <numFmt numFmtId="43" formatCode="_(* #,##0.00_);_(* \(#,##0.00\);_(* &quot;-&quot;??_);_(@_)"/>
    <numFmt numFmtId="164" formatCode="_(* #,##0.000_);_(* \(#,##0.000\);_(* &quot;-&quot;??_);_(@_)"/>
  </numFmts>
  <fonts count="47">
    <font>
      <sz val="10"/>
      <name val="Arial"/>
    </font>
    <font>
      <sz val="11"/>
      <color theme="1"/>
      <name val="Calibri"/>
      <family val="2"/>
      <scheme val="minor"/>
    </font>
    <font>
      <sz val="11"/>
      <color theme="1"/>
      <name val="Calibri"/>
      <family val="2"/>
      <scheme val="minor"/>
    </font>
    <font>
      <sz val="11"/>
      <color indexed="8"/>
      <name val="Calibri"/>
      <family val="2"/>
    </font>
    <font>
      <sz val="10"/>
      <name val="Arial"/>
      <family val="2"/>
    </font>
    <font>
      <sz val="9"/>
      <name val="Arial"/>
      <family val="2"/>
    </font>
    <font>
      <b/>
      <sz val="9"/>
      <name val="Arial"/>
      <family val="2"/>
    </font>
    <font>
      <sz val="10"/>
      <name val="Arial"/>
      <family val="2"/>
    </font>
    <font>
      <b/>
      <sz val="10"/>
      <name val="Arial"/>
      <family val="2"/>
    </font>
    <font>
      <b/>
      <sz val="11"/>
      <name val="Arial"/>
      <family val="2"/>
    </font>
    <font>
      <sz val="9"/>
      <name val="Arial"/>
      <family val="2"/>
    </font>
    <font>
      <u val="singleAccounting"/>
      <sz val="10"/>
      <name val="Arial"/>
      <family val="2"/>
    </font>
    <font>
      <u val="doubleAccounting"/>
      <sz val="10"/>
      <name val="Arial"/>
      <family val="2"/>
    </font>
    <font>
      <i/>
      <sz val="10"/>
      <name val="Times New Roman"/>
      <family val="1"/>
    </font>
    <font>
      <b/>
      <u val="singleAccounting"/>
      <sz val="10"/>
      <name val="Arial"/>
      <family val="2"/>
    </font>
    <font>
      <b/>
      <u val="doubleAccounting"/>
      <sz val="10"/>
      <name val="Arial"/>
      <family val="2"/>
    </font>
    <font>
      <i/>
      <sz val="10"/>
      <name val="Arial"/>
      <family val="2"/>
    </font>
    <font>
      <sz val="10"/>
      <name val="Arial"/>
      <family val="2"/>
    </font>
    <font>
      <b/>
      <sz val="18"/>
      <color indexed="62"/>
      <name val="Cambria"/>
      <family val="2"/>
    </font>
    <font>
      <b/>
      <sz val="15"/>
      <color indexed="62"/>
      <name val="Calibri"/>
      <family val="2"/>
    </font>
    <font>
      <b/>
      <sz val="13"/>
      <color indexed="62"/>
      <name val="Calibri"/>
      <family val="2"/>
    </font>
    <font>
      <b/>
      <sz val="11"/>
      <color indexed="62"/>
      <name val="Calibri"/>
      <family val="2"/>
    </font>
    <font>
      <sz val="11"/>
      <color indexed="17"/>
      <name val="Calibri"/>
      <family val="2"/>
    </font>
    <font>
      <sz val="11"/>
      <color indexed="20"/>
      <name val="Calibri"/>
      <family val="2"/>
    </font>
    <font>
      <sz val="11"/>
      <color indexed="19"/>
      <name val="Calibri"/>
      <family val="2"/>
    </font>
    <font>
      <sz val="11"/>
      <color indexed="62"/>
      <name val="Calibri"/>
      <family val="2"/>
    </font>
    <font>
      <b/>
      <sz val="11"/>
      <color indexed="63"/>
      <name val="Calibri"/>
      <family val="2"/>
    </font>
    <font>
      <b/>
      <sz val="11"/>
      <color indexed="10"/>
      <name val="Calibri"/>
      <family val="2"/>
    </font>
    <font>
      <sz val="11"/>
      <color indexed="10"/>
      <name val="Calibri"/>
      <family val="2"/>
    </font>
    <font>
      <b/>
      <sz val="11"/>
      <color indexed="9"/>
      <name val="Calibri"/>
      <family val="2"/>
    </font>
    <font>
      <sz val="11"/>
      <color indexed="10"/>
      <name val="Calibri"/>
      <family val="2"/>
    </font>
    <font>
      <i/>
      <sz val="11"/>
      <color indexed="23"/>
      <name val="Calibri"/>
      <family val="2"/>
    </font>
    <font>
      <b/>
      <sz val="11"/>
      <color indexed="8"/>
      <name val="Calibri"/>
      <family val="2"/>
    </font>
    <font>
      <sz val="11"/>
      <color indexed="9"/>
      <name val="Calibri"/>
      <family val="2"/>
    </font>
    <font>
      <sz val="8"/>
      <name val="Arial"/>
      <family val="2"/>
    </font>
    <font>
      <sz val="11"/>
      <name val="Arial"/>
      <family val="2"/>
    </font>
    <font>
      <sz val="11"/>
      <color indexed="10"/>
      <name val="Arial"/>
      <family val="2"/>
    </font>
    <font>
      <u val="doubleAccounting"/>
      <sz val="11"/>
      <name val="Arial"/>
      <family val="2"/>
    </font>
    <font>
      <b/>
      <u val="doubleAccounting"/>
      <sz val="11"/>
      <name val="Arial"/>
      <family val="2"/>
    </font>
    <font>
      <b/>
      <u val="singleAccounting"/>
      <sz val="11"/>
      <name val="Arial"/>
      <family val="2"/>
    </font>
    <font>
      <u val="singleAccounting"/>
      <sz val="11"/>
      <name val="Arial"/>
      <family val="2"/>
    </font>
    <font>
      <b/>
      <sz val="11"/>
      <color indexed="10"/>
      <name val="Arial"/>
      <family val="2"/>
    </font>
    <font>
      <sz val="11"/>
      <name val="Times New Roman"/>
      <family val="1"/>
    </font>
    <font>
      <sz val="11"/>
      <name val="Bookman Old Style"/>
      <family val="1"/>
    </font>
    <font>
      <b/>
      <u/>
      <sz val="11"/>
      <name val="Arial"/>
      <family val="2"/>
    </font>
    <font>
      <sz val="11"/>
      <color rgb="FFFF0000"/>
      <name val="Calibri"/>
      <family val="2"/>
      <scheme val="minor"/>
    </font>
    <font>
      <b/>
      <sz val="9"/>
      <color indexed="81"/>
      <name val="Tahoma"/>
      <family val="2"/>
    </font>
  </fonts>
  <fills count="26">
    <fill>
      <patternFill patternType="none"/>
    </fill>
    <fill>
      <patternFill patternType="gray125"/>
    </fill>
    <fill>
      <patternFill patternType="solid">
        <fgColor indexed="44"/>
      </patternFill>
    </fill>
    <fill>
      <patternFill patternType="solid">
        <fgColor indexed="29"/>
      </patternFill>
    </fill>
    <fill>
      <patternFill patternType="solid">
        <fgColor indexed="26"/>
      </patternFill>
    </fill>
    <fill>
      <patternFill patternType="solid">
        <fgColor indexed="22"/>
      </patternFill>
    </fill>
    <fill>
      <patternFill patternType="solid">
        <fgColor indexed="27"/>
      </patternFill>
    </fill>
    <fill>
      <patternFill patternType="solid">
        <fgColor indexed="43"/>
      </patternFill>
    </fill>
    <fill>
      <patternFill patternType="solid">
        <fgColor indexed="45"/>
      </patternFill>
    </fill>
    <fill>
      <patternFill patternType="solid">
        <fgColor indexed="53"/>
      </patternFill>
    </fill>
    <fill>
      <patternFill patternType="solid">
        <fgColor indexed="51"/>
      </patternFill>
    </fill>
    <fill>
      <patternFill patternType="solid">
        <fgColor indexed="56"/>
      </patternFill>
    </fill>
    <fill>
      <patternFill patternType="solid">
        <fgColor indexed="54"/>
      </patternFill>
    </fill>
    <fill>
      <patternFill patternType="solid">
        <fgColor indexed="49"/>
      </patternFill>
    </fill>
    <fill>
      <patternFill patternType="solid">
        <fgColor indexed="10"/>
      </patternFill>
    </fill>
    <fill>
      <patternFill patternType="solid">
        <fgColor indexed="46"/>
      </patternFill>
    </fill>
    <fill>
      <patternFill patternType="solid">
        <fgColor indexed="9"/>
      </patternFill>
    </fill>
    <fill>
      <patternFill patternType="solid">
        <fgColor indexed="55"/>
      </patternFill>
    </fill>
    <fill>
      <patternFill patternType="solid">
        <fgColor indexed="44"/>
        <bgColor indexed="64"/>
      </patternFill>
    </fill>
    <fill>
      <patternFill patternType="solid">
        <fgColor indexed="9"/>
        <bgColor indexed="64"/>
      </patternFill>
    </fill>
    <fill>
      <patternFill patternType="solid">
        <fgColor indexed="41"/>
        <bgColor indexed="64"/>
      </patternFill>
    </fill>
    <fill>
      <patternFill patternType="solid">
        <fgColor indexed="40"/>
        <bgColor indexed="64"/>
      </patternFill>
    </fill>
    <fill>
      <patternFill patternType="solid">
        <fgColor indexed="13"/>
        <bgColor indexed="64"/>
      </patternFill>
    </fill>
    <fill>
      <patternFill patternType="solid">
        <fgColor rgb="FF00B0F0"/>
        <bgColor indexed="64"/>
      </patternFill>
    </fill>
    <fill>
      <patternFill patternType="solid">
        <fgColor rgb="FFFFFF00"/>
        <bgColor indexed="64"/>
      </patternFill>
    </fill>
    <fill>
      <patternFill patternType="solid">
        <fgColor rgb="FF00B050"/>
        <bgColor indexed="64"/>
      </patternFill>
    </fill>
  </fills>
  <borders count="35">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56"/>
      </bottom>
      <diagonal/>
    </border>
    <border>
      <left/>
      <right/>
      <top/>
      <bottom style="thick">
        <color indexed="27"/>
      </bottom>
      <diagonal/>
    </border>
    <border>
      <left/>
      <right/>
      <top/>
      <bottom style="medium">
        <color indexed="27"/>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56"/>
      </top>
      <bottom style="double">
        <color indexed="56"/>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top/>
      <bottom style="double">
        <color indexed="64"/>
      </bottom>
      <diagonal/>
    </border>
    <border>
      <left/>
      <right/>
      <top/>
      <bottom style="double">
        <color indexed="64"/>
      </bottom>
      <diagonal/>
    </border>
    <border>
      <left style="thin">
        <color indexed="64"/>
      </left>
      <right style="thin">
        <color indexed="64"/>
      </right>
      <top style="thin">
        <color indexed="64"/>
      </top>
      <bottom style="double">
        <color indexed="64"/>
      </bottom>
      <diagonal/>
    </border>
    <border>
      <left style="thin">
        <color indexed="55"/>
      </left>
      <right style="thin">
        <color indexed="55"/>
      </right>
      <top style="thin">
        <color indexed="55"/>
      </top>
      <bottom style="thin">
        <color indexed="55"/>
      </bottom>
      <diagonal/>
    </border>
    <border>
      <left style="thin">
        <color indexed="55"/>
      </left>
      <right style="thin">
        <color indexed="55"/>
      </right>
      <top style="thin">
        <color indexed="64"/>
      </top>
      <bottom style="thin">
        <color indexed="55"/>
      </bottom>
      <diagonal/>
    </border>
    <border>
      <left/>
      <right style="thin">
        <color indexed="55"/>
      </right>
      <top style="thin">
        <color indexed="55"/>
      </top>
      <bottom style="thin">
        <color indexed="55"/>
      </bottom>
      <diagonal/>
    </border>
    <border>
      <left/>
      <right style="thin">
        <color indexed="55"/>
      </right>
      <top style="thin">
        <color indexed="64"/>
      </top>
      <bottom style="thin">
        <color indexed="55"/>
      </bottom>
      <diagonal/>
    </border>
    <border>
      <left style="thin">
        <color indexed="55"/>
      </left>
      <right style="thin">
        <color indexed="55"/>
      </right>
      <top/>
      <bottom style="thin">
        <color indexed="55"/>
      </bottom>
      <diagonal/>
    </border>
    <border>
      <left style="thin">
        <color indexed="55"/>
      </left>
      <right style="thin">
        <color indexed="55"/>
      </right>
      <top style="thin">
        <color indexed="55"/>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style="thin">
        <color indexed="64"/>
      </top>
      <bottom/>
      <diagonal/>
    </border>
    <border>
      <left/>
      <right/>
      <top style="thin">
        <color indexed="64"/>
      </top>
      <bottom style="medium">
        <color indexed="64"/>
      </bottom>
      <diagonal/>
    </border>
    <border>
      <left/>
      <right/>
      <top/>
      <bottom style="medium">
        <color indexed="64"/>
      </bottom>
      <diagonal/>
    </border>
    <border>
      <left style="thin">
        <color indexed="64"/>
      </left>
      <right style="thin">
        <color indexed="64"/>
      </right>
      <top style="double">
        <color indexed="64"/>
      </top>
      <bottom style="double">
        <color indexed="64"/>
      </bottom>
      <diagonal/>
    </border>
    <border>
      <left style="thin">
        <color indexed="64"/>
      </left>
      <right style="thin">
        <color indexed="64"/>
      </right>
      <top/>
      <bottom style="double">
        <color indexed="64"/>
      </bottom>
      <diagonal/>
    </border>
    <border>
      <left style="thin">
        <color indexed="64"/>
      </left>
      <right/>
      <top style="double">
        <color indexed="64"/>
      </top>
      <bottom style="double">
        <color indexed="64"/>
      </bottom>
      <diagonal/>
    </border>
  </borders>
  <cellStyleXfs count="51">
    <xf numFmtId="0" fontId="0" fillId="0" borderId="0"/>
    <xf numFmtId="0" fontId="3" fillId="2" borderId="0" applyNumberFormat="0" applyBorder="0" applyAlignment="0" applyProtection="0"/>
    <xf numFmtId="0" fontId="3" fillId="3" borderId="0" applyNumberFormat="0" applyBorder="0" applyAlignment="0" applyProtection="0"/>
    <xf numFmtId="0" fontId="3" fillId="4" borderId="0" applyNumberFormat="0" applyBorder="0" applyAlignment="0" applyProtection="0"/>
    <xf numFmtId="0" fontId="3" fillId="5"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 fillId="6" borderId="0" applyNumberFormat="0" applyBorder="0" applyAlignment="0" applyProtection="0"/>
    <xf numFmtId="0" fontId="3" fillId="3" borderId="0" applyNumberFormat="0" applyBorder="0" applyAlignment="0" applyProtection="0"/>
    <xf numFmtId="0" fontId="3" fillId="7" borderId="0" applyNumberFormat="0" applyBorder="0" applyAlignment="0" applyProtection="0"/>
    <xf numFmtId="0" fontId="3" fillId="8" borderId="0" applyNumberFormat="0" applyBorder="0" applyAlignment="0" applyProtection="0"/>
    <xf numFmtId="0" fontId="3" fillId="6" borderId="0" applyNumberFormat="0" applyBorder="0" applyAlignment="0" applyProtection="0"/>
    <xf numFmtId="0" fontId="3" fillId="4" borderId="0" applyNumberFormat="0" applyBorder="0" applyAlignment="0" applyProtection="0"/>
    <xf numFmtId="0" fontId="33" fillId="6"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8" borderId="0" applyNumberFormat="0" applyBorder="0" applyAlignment="0" applyProtection="0"/>
    <xf numFmtId="0" fontId="33" fillId="6" borderId="0" applyNumberFormat="0" applyBorder="0" applyAlignment="0" applyProtection="0"/>
    <xf numFmtId="0" fontId="33" fillId="3" borderId="0" applyNumberFormat="0" applyBorder="0" applyAlignment="0" applyProtection="0"/>
    <xf numFmtId="0" fontId="33" fillId="11" borderId="0" applyNumberFormat="0" applyBorder="0" applyAlignment="0" applyProtection="0"/>
    <xf numFmtId="0" fontId="33" fillId="9" borderId="0" applyNumberFormat="0" applyBorder="0" applyAlignment="0" applyProtection="0"/>
    <xf numFmtId="0" fontId="33" fillId="10" borderId="0" applyNumberFormat="0" applyBorder="0" applyAlignment="0" applyProtection="0"/>
    <xf numFmtId="0" fontId="33" fillId="12" borderId="0" applyNumberFormat="0" applyBorder="0" applyAlignment="0" applyProtection="0"/>
    <xf numFmtId="0" fontId="33" fillId="13" borderId="0" applyNumberFormat="0" applyBorder="0" applyAlignment="0" applyProtection="0"/>
    <xf numFmtId="0" fontId="33" fillId="14" borderId="0" applyNumberFormat="0" applyBorder="0" applyAlignment="0" applyProtection="0"/>
    <xf numFmtId="0" fontId="23" fillId="15" borderId="0" applyNumberFormat="0" applyBorder="0" applyAlignment="0" applyProtection="0"/>
    <xf numFmtId="0" fontId="27" fillId="16" borderId="1" applyNumberFormat="0" applyAlignment="0" applyProtection="0"/>
    <xf numFmtId="0" fontId="29" fillId="17" borderId="2" applyNumberFormat="0" applyAlignment="0" applyProtection="0"/>
    <xf numFmtId="43" fontId="4" fillId="0" borderId="0" applyFont="0" applyFill="0" applyBorder="0" applyAlignment="0" applyProtection="0"/>
    <xf numFmtId="0" fontId="31" fillId="0" borderId="0" applyNumberFormat="0" applyFill="0" applyBorder="0" applyAlignment="0" applyProtection="0"/>
    <xf numFmtId="0" fontId="22" fillId="6" borderId="0" applyNumberFormat="0" applyBorder="0" applyAlignment="0" applyProtection="0"/>
    <xf numFmtId="0" fontId="19" fillId="0" borderId="3" applyNumberFormat="0" applyFill="0" applyAlignment="0" applyProtection="0"/>
    <xf numFmtId="0" fontId="20" fillId="0" borderId="4" applyNumberFormat="0" applyFill="0" applyAlignment="0" applyProtection="0"/>
    <xf numFmtId="0" fontId="21" fillId="0" borderId="5" applyNumberFormat="0" applyFill="0" applyAlignment="0" applyProtection="0"/>
    <xf numFmtId="0" fontId="21" fillId="0" borderId="0" applyNumberFormat="0" applyFill="0" applyBorder="0" applyAlignment="0" applyProtection="0"/>
    <xf numFmtId="0" fontId="25" fillId="7" borderId="1" applyNumberFormat="0" applyAlignment="0" applyProtection="0"/>
    <xf numFmtId="0" fontId="28" fillId="0" borderId="6" applyNumberFormat="0" applyFill="0" applyAlignment="0" applyProtection="0"/>
    <xf numFmtId="0" fontId="24" fillId="7" borderId="0" applyNumberFormat="0" applyBorder="0" applyAlignment="0" applyProtection="0"/>
    <xf numFmtId="0" fontId="17" fillId="4" borderId="7" applyNumberFormat="0" applyFont="0" applyAlignment="0" applyProtection="0"/>
    <xf numFmtId="0" fontId="26" fillId="16" borderId="8" applyNumberFormat="0" applyAlignment="0" applyProtection="0"/>
    <xf numFmtId="0" fontId="18" fillId="0" borderId="0" applyNumberFormat="0" applyFill="0" applyBorder="0" applyAlignment="0" applyProtection="0"/>
    <xf numFmtId="0" fontId="32" fillId="0" borderId="9" applyNumberFormat="0" applyFill="0" applyAlignment="0" applyProtection="0"/>
    <xf numFmtId="0" fontId="30" fillId="0" borderId="0" applyNumberFormat="0" applyFill="0" applyBorder="0" applyAlignment="0" applyProtection="0"/>
    <xf numFmtId="0" fontId="2" fillId="0" borderId="0"/>
    <xf numFmtId="43" fontId="4" fillId="0" borderId="0" applyFont="0" applyFill="0" applyBorder="0" applyAlignment="0" applyProtection="0"/>
    <xf numFmtId="43" fontId="4" fillId="0" borderId="0" applyFont="0" applyFill="0" applyBorder="0" applyAlignment="0" applyProtection="0"/>
    <xf numFmtId="0" fontId="4" fillId="0" borderId="0"/>
    <xf numFmtId="0" fontId="2" fillId="0" borderId="0"/>
    <xf numFmtId="0" fontId="3" fillId="0" borderId="0"/>
    <xf numFmtId="0" fontId="4" fillId="0" borderId="0"/>
    <xf numFmtId="0" fontId="4" fillId="0" borderId="0"/>
  </cellStyleXfs>
  <cellXfs count="404">
    <xf numFmtId="0" fontId="0" fillId="0" borderId="0" xfId="0"/>
    <xf numFmtId="43" fontId="5" fillId="0" borderId="0" xfId="28" applyFont="1"/>
    <xf numFmtId="43" fontId="5" fillId="0" borderId="0" xfId="28" applyFont="1" applyAlignment="1">
      <alignment horizontal="center"/>
    </xf>
    <xf numFmtId="43" fontId="5" fillId="0" borderId="0" xfId="28" applyFont="1" applyAlignment="1">
      <alignment horizontal="center" vertical="center"/>
    </xf>
    <xf numFmtId="43" fontId="5" fillId="0" borderId="0" xfId="28" applyFont="1" applyAlignment="1">
      <alignment horizontal="center" vertical="center" wrapText="1"/>
    </xf>
    <xf numFmtId="43" fontId="6" fillId="0" borderId="0" xfId="28" applyFont="1" applyAlignment="1">
      <alignment horizontal="center" vertical="center"/>
    </xf>
    <xf numFmtId="43" fontId="5" fillId="0" borderId="0" xfId="28" applyFont="1" applyAlignment="1">
      <alignment horizontal="centerContinuous" vertical="center"/>
    </xf>
    <xf numFmtId="43" fontId="6" fillId="0" borderId="0" xfId="28" applyFont="1" applyAlignment="1">
      <alignment horizontal="centerContinuous" vertical="center"/>
    </xf>
    <xf numFmtId="43" fontId="11" fillId="0" borderId="20" xfId="28" applyFont="1" applyFill="1" applyBorder="1" applyAlignment="1">
      <alignment horizontal="center" vertical="center"/>
    </xf>
    <xf numFmtId="43" fontId="7" fillId="0" borderId="20" xfId="28" applyFont="1" applyFill="1" applyBorder="1" applyAlignment="1">
      <alignment horizontal="center" vertical="center"/>
    </xf>
    <xf numFmtId="43" fontId="7" fillId="0" borderId="0" xfId="28" applyFont="1" applyFill="1" applyAlignment="1">
      <alignment vertical="center"/>
    </xf>
    <xf numFmtId="43" fontId="12" fillId="0" borderId="0" xfId="28" applyFont="1" applyBorder="1" applyAlignment="1">
      <alignment horizontal="center"/>
    </xf>
    <xf numFmtId="43" fontId="5" fillId="0" borderId="0" xfId="28" applyFont="1" applyAlignment="1">
      <alignment horizontal="centerContinuous"/>
    </xf>
    <xf numFmtId="43" fontId="8" fillId="0" borderId="21" xfId="28" applyFont="1" applyBorder="1" applyAlignment="1">
      <alignment horizontal="center" vertical="center"/>
    </xf>
    <xf numFmtId="43" fontId="8" fillId="0" borderId="0" xfId="28" applyFont="1" applyAlignment="1">
      <alignment vertical="center"/>
    </xf>
    <xf numFmtId="43" fontId="14" fillId="0" borderId="20" xfId="28" applyFont="1" applyBorder="1" applyAlignment="1">
      <alignment horizontal="center" vertical="center"/>
    </xf>
    <xf numFmtId="43" fontId="7" fillId="0" borderId="20" xfId="28" applyFont="1" applyBorder="1" applyAlignment="1">
      <alignment horizontal="center" vertical="center"/>
    </xf>
    <xf numFmtId="43" fontId="7" fillId="0" borderId="0" xfId="28" applyFont="1" applyAlignment="1">
      <alignment vertical="center"/>
    </xf>
    <xf numFmtId="43" fontId="11" fillId="0" borderId="20" xfId="28" applyFont="1" applyBorder="1" applyAlignment="1">
      <alignment horizontal="center" vertical="center"/>
    </xf>
    <xf numFmtId="43" fontId="8" fillId="0" borderId="20" xfId="28" applyFont="1" applyBorder="1" applyAlignment="1">
      <alignment horizontal="center" vertical="center"/>
    </xf>
    <xf numFmtId="43" fontId="14" fillId="0" borderId="20" xfId="28" applyFont="1" applyFill="1" applyBorder="1" applyAlignment="1">
      <alignment horizontal="center" vertical="center"/>
    </xf>
    <xf numFmtId="43" fontId="11" fillId="0" borderId="0" xfId="28" applyFont="1" applyAlignment="1">
      <alignment vertical="center"/>
    </xf>
    <xf numFmtId="43" fontId="8" fillId="0" borderId="0" xfId="28" applyFont="1" applyAlignment="1">
      <alignment horizontal="center" vertical="center"/>
    </xf>
    <xf numFmtId="43" fontId="12" fillId="0" borderId="20" xfId="28" applyFont="1" applyBorder="1" applyAlignment="1">
      <alignment horizontal="center" vertical="center"/>
    </xf>
    <xf numFmtId="43" fontId="12" fillId="0" borderId="0" xfId="28" applyFont="1" applyAlignment="1">
      <alignment vertical="center"/>
    </xf>
    <xf numFmtId="43" fontId="14" fillId="0" borderId="0" xfId="28" applyFont="1" applyAlignment="1">
      <alignment vertical="center"/>
    </xf>
    <xf numFmtId="43" fontId="15" fillId="0" borderId="20" xfId="28" applyFont="1" applyBorder="1" applyAlignment="1">
      <alignment horizontal="center" vertical="center"/>
    </xf>
    <xf numFmtId="43" fontId="15" fillId="0" borderId="0" xfId="28" applyFont="1" applyAlignment="1">
      <alignment vertical="center"/>
    </xf>
    <xf numFmtId="43" fontId="7" fillId="0" borderId="20" xfId="28" applyFont="1" applyBorder="1" applyAlignment="1">
      <alignment horizontal="center"/>
    </xf>
    <xf numFmtId="43" fontId="7" fillId="0" borderId="0" xfId="28" applyFont="1"/>
    <xf numFmtId="43" fontId="7" fillId="18" borderId="20" xfId="28" applyFont="1" applyFill="1" applyBorder="1" applyAlignment="1">
      <alignment horizontal="center"/>
    </xf>
    <xf numFmtId="43" fontId="7" fillId="18" borderId="0" xfId="28" applyFont="1" applyFill="1"/>
    <xf numFmtId="43" fontId="7" fillId="0" borderId="0" xfId="28" applyFont="1" applyAlignment="1">
      <alignment horizontal="center"/>
    </xf>
    <xf numFmtId="43" fontId="8" fillId="0" borderId="0" xfId="28" applyFont="1" applyAlignment="1">
      <alignment horizontal="left"/>
    </xf>
    <xf numFmtId="43" fontId="8" fillId="0" borderId="0" xfId="28" applyFont="1" applyAlignment="1">
      <alignment horizontal="center"/>
    </xf>
    <xf numFmtId="43" fontId="8" fillId="0" borderId="0" xfId="28" applyFont="1"/>
    <xf numFmtId="43" fontId="7" fillId="0" borderId="0" xfId="28" applyFont="1" applyBorder="1"/>
    <xf numFmtId="0" fontId="10" fillId="0" borderId="0" xfId="0" applyFont="1" applyAlignment="1">
      <alignment horizontal="centerContinuous" vertical="center"/>
    </xf>
    <xf numFmtId="0" fontId="6" fillId="0" borderId="0" xfId="0" applyFont="1" applyAlignment="1">
      <alignment horizontal="centerContinuous" vertical="center"/>
    </xf>
    <xf numFmtId="43" fontId="8" fillId="0" borderId="20" xfId="28" applyFont="1" applyBorder="1" applyAlignment="1">
      <alignment horizontal="center"/>
    </xf>
    <xf numFmtId="43" fontId="7" fillId="0" borderId="0" xfId="28" applyFont="1" applyBorder="1" applyAlignment="1">
      <alignment vertical="center"/>
    </xf>
    <xf numFmtId="43" fontId="7" fillId="0" borderId="0" xfId="28" applyFont="1" applyFill="1" applyBorder="1" applyAlignment="1">
      <alignment vertical="center"/>
    </xf>
    <xf numFmtId="43" fontId="11" fillId="0" borderId="0" xfId="28" applyFont="1" applyBorder="1" applyAlignment="1">
      <alignment horizontal="center"/>
    </xf>
    <xf numFmtId="43" fontId="7" fillId="0" borderId="10" xfId="28" applyFont="1" applyBorder="1" applyAlignment="1">
      <alignment vertical="center"/>
    </xf>
    <xf numFmtId="43" fontId="7" fillId="0" borderId="10" xfId="28" applyFont="1" applyBorder="1" applyAlignment="1">
      <alignment horizontal="center" vertical="center"/>
    </xf>
    <xf numFmtId="0" fontId="7" fillId="0" borderId="10" xfId="0" applyFont="1" applyBorder="1" applyAlignment="1">
      <alignment vertical="center"/>
    </xf>
    <xf numFmtId="0" fontId="7" fillId="0" borderId="10" xfId="0" applyFont="1" applyBorder="1" applyAlignment="1">
      <alignment vertical="center" wrapText="1"/>
    </xf>
    <xf numFmtId="43" fontId="7" fillId="0" borderId="10" xfId="28" applyFont="1" applyFill="1" applyBorder="1" applyAlignment="1">
      <alignment horizontal="center" vertical="center"/>
    </xf>
    <xf numFmtId="0" fontId="7" fillId="0" borderId="10" xfId="0" applyFont="1" applyFill="1" applyBorder="1" applyAlignment="1">
      <alignment vertical="center"/>
    </xf>
    <xf numFmtId="43" fontId="8" fillId="0" borderId="10" xfId="28" applyFont="1" applyFill="1" applyBorder="1" applyAlignment="1">
      <alignment horizontal="center" vertical="center"/>
    </xf>
    <xf numFmtId="43" fontId="12" fillId="0" borderId="10" xfId="28" applyFont="1" applyBorder="1" applyAlignment="1">
      <alignment horizontal="center" vertical="center"/>
    </xf>
    <xf numFmtId="43" fontId="7" fillId="0" borderId="22" xfId="28" applyFont="1" applyBorder="1" applyAlignment="1">
      <alignment horizontal="center"/>
    </xf>
    <xf numFmtId="43" fontId="8" fillId="0" borderId="10" xfId="28" applyFont="1" applyBorder="1" applyAlignment="1">
      <alignment horizontal="center"/>
    </xf>
    <xf numFmtId="43" fontId="8" fillId="0" borderId="23" xfId="28" applyFont="1" applyBorder="1" applyAlignment="1">
      <alignment horizontal="center" vertical="center"/>
    </xf>
    <xf numFmtId="43" fontId="14" fillId="0" borderId="22" xfId="28" applyFont="1" applyBorder="1" applyAlignment="1">
      <alignment horizontal="center" vertical="center"/>
    </xf>
    <xf numFmtId="43" fontId="7" fillId="0" borderId="22" xfId="28" applyFont="1" applyBorder="1" applyAlignment="1">
      <alignment horizontal="center" vertical="center"/>
    </xf>
    <xf numFmtId="43" fontId="7" fillId="0" borderId="22" xfId="28" applyFont="1" applyFill="1" applyBorder="1" applyAlignment="1">
      <alignment horizontal="center" vertical="center"/>
    </xf>
    <xf numFmtId="43" fontId="11" fillId="0" borderId="22" xfId="28" applyFont="1" applyBorder="1" applyAlignment="1">
      <alignment horizontal="center" vertical="center"/>
    </xf>
    <xf numFmtId="43" fontId="8" fillId="0" borderId="22" xfId="28" applyFont="1" applyBorder="1" applyAlignment="1">
      <alignment horizontal="center" vertical="center"/>
    </xf>
    <xf numFmtId="43" fontId="14" fillId="0" borderId="22" xfId="28" applyFont="1" applyFill="1" applyBorder="1" applyAlignment="1">
      <alignment horizontal="center" vertical="center"/>
    </xf>
    <xf numFmtId="43" fontId="11" fillId="0" borderId="22" xfId="28" applyFont="1" applyFill="1" applyBorder="1" applyAlignment="1">
      <alignment horizontal="center" vertical="center"/>
    </xf>
    <xf numFmtId="43" fontId="12" fillId="0" borderId="22" xfId="28" applyFont="1" applyBorder="1" applyAlignment="1">
      <alignment horizontal="center" vertical="center"/>
    </xf>
    <xf numFmtId="43" fontId="15" fillId="0" borderId="22" xfId="28" applyFont="1" applyBorder="1" applyAlignment="1">
      <alignment horizontal="center" vertical="center"/>
    </xf>
    <xf numFmtId="43" fontId="7" fillId="18" borderId="24" xfId="28" applyFont="1" applyFill="1" applyBorder="1"/>
    <xf numFmtId="43" fontId="7" fillId="18" borderId="24" xfId="28" applyFont="1" applyFill="1" applyBorder="1" applyAlignment="1">
      <alignment horizontal="center"/>
    </xf>
    <xf numFmtId="43" fontId="8" fillId="0" borderId="10" xfId="28" applyFont="1" applyBorder="1" applyAlignment="1">
      <alignment vertical="center"/>
    </xf>
    <xf numFmtId="43" fontId="8" fillId="0" borderId="10" xfId="28" applyFont="1" applyBorder="1" applyAlignment="1">
      <alignment horizontal="center" vertical="center"/>
    </xf>
    <xf numFmtId="43" fontId="14" fillId="0" borderId="10" xfId="28" applyFont="1" applyBorder="1" applyAlignment="1">
      <alignment horizontal="center" vertical="center"/>
    </xf>
    <xf numFmtId="0" fontId="0" fillId="0" borderId="10" xfId="0" applyBorder="1" applyAlignment="1">
      <alignment vertical="center"/>
    </xf>
    <xf numFmtId="0" fontId="8" fillId="0" borderId="10" xfId="0" applyFont="1" applyBorder="1" applyAlignment="1">
      <alignment vertical="center"/>
    </xf>
    <xf numFmtId="43" fontId="7" fillId="0" borderId="10" xfId="28" applyFont="1" applyFill="1" applyBorder="1" applyAlignment="1">
      <alignment vertical="center"/>
    </xf>
    <xf numFmtId="0" fontId="0" fillId="0" borderId="10" xfId="0" applyFill="1" applyBorder="1" applyAlignment="1">
      <alignment vertical="center"/>
    </xf>
    <xf numFmtId="43" fontId="11" fillId="0" borderId="10" xfId="28" applyFont="1" applyBorder="1" applyAlignment="1">
      <alignment horizontal="center" vertical="center"/>
    </xf>
    <xf numFmtId="0" fontId="0" fillId="0" borderId="10" xfId="0" applyBorder="1" applyAlignment="1">
      <alignment vertical="center" wrapText="1"/>
    </xf>
    <xf numFmtId="43" fontId="14" fillId="0" borderId="10" xfId="28" applyFont="1" applyFill="1" applyBorder="1" applyAlignment="1">
      <alignment horizontal="center" vertical="center"/>
    </xf>
    <xf numFmtId="0" fontId="8" fillId="0" borderId="10" xfId="0" applyFont="1" applyBorder="1" applyAlignment="1">
      <alignment horizontal="left" vertical="center"/>
    </xf>
    <xf numFmtId="43" fontId="14" fillId="0" borderId="10" xfId="28" applyFont="1" applyBorder="1" applyAlignment="1">
      <alignment vertical="center"/>
    </xf>
    <xf numFmtId="43" fontId="15" fillId="0" borderId="10" xfId="28" applyFont="1" applyBorder="1" applyAlignment="1">
      <alignment horizontal="center" vertical="center"/>
    </xf>
    <xf numFmtId="43" fontId="7" fillId="0" borderId="10" xfId="28" applyFont="1" applyBorder="1"/>
    <xf numFmtId="43" fontId="7" fillId="0" borderId="10" xfId="28" applyFont="1" applyBorder="1" applyAlignment="1">
      <alignment horizontal="center"/>
    </xf>
    <xf numFmtId="43" fontId="8" fillId="0" borderId="10" xfId="28" applyFont="1" applyFill="1" applyBorder="1" applyAlignment="1">
      <alignment vertical="center"/>
    </xf>
    <xf numFmtId="43" fontId="15" fillId="0" borderId="10" xfId="28" applyFont="1" applyFill="1" applyBorder="1" applyAlignment="1">
      <alignment horizontal="center" vertical="center"/>
    </xf>
    <xf numFmtId="43" fontId="8" fillId="0" borderId="22" xfId="28" applyFont="1" applyBorder="1" applyAlignment="1">
      <alignment horizontal="center"/>
    </xf>
    <xf numFmtId="43" fontId="8" fillId="0" borderId="25" xfId="28" applyFont="1" applyBorder="1"/>
    <xf numFmtId="43" fontId="7" fillId="0" borderId="25" xfId="28" applyFont="1" applyBorder="1"/>
    <xf numFmtId="43" fontId="7" fillId="0" borderId="25" xfId="28" applyFont="1" applyBorder="1" applyAlignment="1">
      <alignment horizontal="center"/>
    </xf>
    <xf numFmtId="43" fontId="8" fillId="0" borderId="10" xfId="28" applyFont="1" applyBorder="1"/>
    <xf numFmtId="0" fontId="8" fillId="0" borderId="10" xfId="0" applyFont="1" applyBorder="1"/>
    <xf numFmtId="0" fontId="13" fillId="0" borderId="10" xfId="0" applyFont="1" applyBorder="1" applyAlignment="1">
      <alignment vertical="center"/>
    </xf>
    <xf numFmtId="43" fontId="13" fillId="0" borderId="10" xfId="28" applyFont="1" applyBorder="1" applyAlignment="1">
      <alignment vertical="center"/>
    </xf>
    <xf numFmtId="43" fontId="11" fillId="0" borderId="10" xfId="28" applyFont="1" applyFill="1" applyBorder="1" applyAlignment="1">
      <alignment horizontal="center" vertical="center"/>
    </xf>
    <xf numFmtId="43" fontId="12" fillId="0" borderId="10" xfId="28" applyFont="1" applyBorder="1" applyAlignment="1">
      <alignment horizontal="center"/>
    </xf>
    <xf numFmtId="43" fontId="13" fillId="0" borderId="10" xfId="28" applyFont="1" applyBorder="1"/>
    <xf numFmtId="43" fontId="5" fillId="0" borderId="0" xfId="28" applyFont="1" applyBorder="1" applyAlignment="1">
      <alignment horizontal="centerContinuous" vertical="center"/>
    </xf>
    <xf numFmtId="43" fontId="5" fillId="0" borderId="0" xfId="28" applyFont="1" applyBorder="1" applyAlignment="1">
      <alignment horizontal="center" vertical="center"/>
    </xf>
    <xf numFmtId="0" fontId="5" fillId="0" borderId="0" xfId="0" applyFont="1" applyBorder="1" applyAlignment="1">
      <alignment horizontal="center" vertical="center"/>
    </xf>
    <xf numFmtId="43" fontId="5" fillId="0" borderId="0" xfId="28" applyFont="1" applyBorder="1"/>
    <xf numFmtId="43" fontId="6" fillId="0" borderId="0" xfId="28" applyFont="1" applyBorder="1" applyAlignment="1">
      <alignment horizontal="centerContinuous" vertical="center"/>
    </xf>
    <xf numFmtId="43" fontId="6" fillId="0" borderId="0" xfId="28" applyFont="1" applyBorder="1" applyAlignment="1">
      <alignment horizontal="center" vertical="center"/>
    </xf>
    <xf numFmtId="0" fontId="6" fillId="0" borderId="0" xfId="0" applyFont="1" applyBorder="1" applyAlignment="1">
      <alignment horizontal="center" vertical="center"/>
    </xf>
    <xf numFmtId="43" fontId="11" fillId="0" borderId="0" xfId="28" applyFont="1" applyBorder="1"/>
    <xf numFmtId="43" fontId="8" fillId="0" borderId="0" xfId="28" applyFont="1" applyBorder="1"/>
    <xf numFmtId="43" fontId="4" fillId="0" borderId="0" xfId="28" applyFont="1" applyBorder="1" applyAlignment="1">
      <alignment vertical="top" wrapText="1"/>
    </xf>
    <xf numFmtId="43" fontId="4" fillId="0" borderId="0" xfId="28" applyFont="1" applyBorder="1" applyAlignment="1">
      <alignment horizontal="center"/>
    </xf>
    <xf numFmtId="43" fontId="4" fillId="0" borderId="0" xfId="28" applyFont="1" applyBorder="1"/>
    <xf numFmtId="43" fontId="4" fillId="0" borderId="12" xfId="28" applyFont="1" applyBorder="1" applyAlignment="1">
      <alignment horizontal="center"/>
    </xf>
    <xf numFmtId="43" fontId="4" fillId="0" borderId="18" xfId="28" applyFont="1" applyBorder="1" applyAlignment="1">
      <alignment horizontal="center"/>
    </xf>
    <xf numFmtId="43" fontId="5" fillId="19" borderId="0" xfId="28" applyFont="1" applyFill="1" applyAlignment="1">
      <alignment horizontal="centerContinuous"/>
    </xf>
    <xf numFmtId="43" fontId="5" fillId="19" borderId="0" xfId="28" applyFont="1" applyFill="1"/>
    <xf numFmtId="43" fontId="7" fillId="19" borderId="25" xfId="28" applyFont="1" applyFill="1" applyBorder="1" applyAlignment="1">
      <alignment horizontal="center"/>
    </xf>
    <xf numFmtId="43" fontId="8" fillId="19" borderId="10" xfId="28" applyFont="1" applyFill="1" applyBorder="1" applyAlignment="1">
      <alignment horizontal="center"/>
    </xf>
    <xf numFmtId="43" fontId="14" fillId="19" borderId="10" xfId="28" applyFont="1" applyFill="1" applyBorder="1" applyAlignment="1">
      <alignment horizontal="center" vertical="center"/>
    </xf>
    <xf numFmtId="43" fontId="7" fillId="19" borderId="10" xfId="28" applyFont="1" applyFill="1" applyBorder="1" applyAlignment="1">
      <alignment horizontal="center" vertical="center"/>
    </xf>
    <xf numFmtId="43" fontId="11" fillId="19" borderId="10" xfId="28" applyFont="1" applyFill="1" applyBorder="1" applyAlignment="1">
      <alignment horizontal="center" vertical="center"/>
    </xf>
    <xf numFmtId="43" fontId="12" fillId="19" borderId="10" xfId="28" applyFont="1" applyFill="1" applyBorder="1" applyAlignment="1">
      <alignment horizontal="center" vertical="center"/>
    </xf>
    <xf numFmtId="43" fontId="7" fillId="19" borderId="10" xfId="28" applyFont="1" applyFill="1" applyBorder="1" applyAlignment="1">
      <alignment horizontal="center"/>
    </xf>
    <xf numFmtId="43" fontId="7" fillId="19" borderId="0" xfId="28" applyFont="1" applyFill="1" applyAlignment="1">
      <alignment horizontal="center"/>
    </xf>
    <xf numFmtId="43" fontId="4" fillId="0" borderId="0" xfId="28" applyFont="1" applyAlignment="1">
      <alignment horizontal="left"/>
    </xf>
    <xf numFmtId="43" fontId="5" fillId="0" borderId="0" xfId="28" applyFont="1" applyFill="1" applyAlignment="1">
      <alignment horizontal="centerContinuous" vertical="center"/>
    </xf>
    <xf numFmtId="43" fontId="6" fillId="0" borderId="0" xfId="28" applyFont="1" applyFill="1" applyAlignment="1">
      <alignment horizontal="centerContinuous" vertical="center"/>
    </xf>
    <xf numFmtId="43" fontId="5" fillId="0" borderId="0" xfId="28" applyFont="1" applyFill="1" applyAlignment="1">
      <alignment horizontal="centerContinuous"/>
    </xf>
    <xf numFmtId="43" fontId="5" fillId="0" borderId="0" xfId="28" applyFont="1" applyFill="1" applyAlignment="1">
      <alignment horizontal="center" vertical="center"/>
    </xf>
    <xf numFmtId="43" fontId="12" fillId="0" borderId="10" xfId="28" applyFont="1" applyFill="1" applyBorder="1" applyAlignment="1">
      <alignment horizontal="center" vertical="center"/>
    </xf>
    <xf numFmtId="43" fontId="7" fillId="0" borderId="10" xfId="28" applyFont="1" applyFill="1" applyBorder="1" applyAlignment="1">
      <alignment horizontal="center"/>
    </xf>
    <xf numFmtId="43" fontId="7" fillId="0" borderId="24" xfId="28" applyFont="1" applyFill="1" applyBorder="1" applyAlignment="1">
      <alignment horizontal="center"/>
    </xf>
    <xf numFmtId="43" fontId="7" fillId="0" borderId="0" xfId="28" applyFont="1" applyFill="1" applyAlignment="1">
      <alignment horizontal="center"/>
    </xf>
    <xf numFmtId="43" fontId="35" fillId="0" borderId="0" xfId="28" applyFont="1" applyAlignment="1">
      <alignment horizontal="centerContinuous" vertical="center"/>
    </xf>
    <xf numFmtId="0" fontId="35" fillId="0" borderId="0" xfId="0" applyFont="1" applyAlignment="1">
      <alignment horizontal="centerContinuous" vertical="center"/>
    </xf>
    <xf numFmtId="43" fontId="35" fillId="0" borderId="0" xfId="28" applyFont="1"/>
    <xf numFmtId="43" fontId="35" fillId="0" borderId="0" xfId="28" applyFont="1" applyBorder="1"/>
    <xf numFmtId="43" fontId="9" fillId="0" borderId="0" xfId="28" applyFont="1" applyAlignment="1">
      <alignment horizontal="centerContinuous" vertical="center"/>
    </xf>
    <xf numFmtId="0" fontId="9" fillId="0" borderId="0" xfId="0" applyFont="1" applyAlignment="1">
      <alignment horizontal="centerContinuous" vertical="center"/>
    </xf>
    <xf numFmtId="43" fontId="9" fillId="0" borderId="0" xfId="28" applyFont="1" applyAlignment="1">
      <alignment horizontal="centerContinuous" vertical="center" wrapText="1"/>
    </xf>
    <xf numFmtId="43" fontId="35" fillId="0" borderId="0" xfId="28" applyFont="1" applyAlignment="1">
      <alignment horizontal="centerContinuous" vertical="center" wrapText="1"/>
    </xf>
    <xf numFmtId="43" fontId="35" fillId="0" borderId="0" xfId="28" applyFont="1" applyAlignment="1">
      <alignment horizontal="center" vertical="center" wrapText="1"/>
    </xf>
    <xf numFmtId="164" fontId="35" fillId="0" borderId="0" xfId="28" quotePrefix="1" applyNumberFormat="1" applyFont="1"/>
    <xf numFmtId="49" fontId="35" fillId="0" borderId="0" xfId="28" applyNumberFormat="1" applyFont="1" applyAlignment="1">
      <alignment horizontal="center"/>
    </xf>
    <xf numFmtId="43" fontId="35" fillId="20" borderId="0" xfId="28" applyFont="1" applyFill="1" applyAlignment="1">
      <alignment horizontal="center"/>
    </xf>
    <xf numFmtId="43" fontId="35" fillId="0" borderId="0" xfId="28" applyFont="1" applyAlignment="1">
      <alignment horizontal="center"/>
    </xf>
    <xf numFmtId="43" fontId="9" fillId="20" borderId="10" xfId="28" applyFont="1" applyFill="1" applyBorder="1" applyAlignment="1">
      <alignment horizontal="centerContinuous" vertical="center" wrapText="1"/>
    </xf>
    <xf numFmtId="43" fontId="9" fillId="0" borderId="10" xfId="28" applyFont="1" applyBorder="1" applyAlignment="1">
      <alignment horizontal="centerContinuous"/>
    </xf>
    <xf numFmtId="43" fontId="9" fillId="0" borderId="0" xfId="28" applyFont="1"/>
    <xf numFmtId="43" fontId="9" fillId="0" borderId="0" xfId="28" applyFont="1" applyBorder="1"/>
    <xf numFmtId="43" fontId="9" fillId="20" borderId="10" xfId="28" applyFont="1" applyFill="1" applyBorder="1" applyAlignment="1">
      <alignment horizontal="center" vertical="center" wrapText="1"/>
    </xf>
    <xf numFmtId="43" fontId="9" fillId="0" borderId="10" xfId="28" applyFont="1" applyBorder="1" applyAlignment="1">
      <alignment horizontal="center" vertical="center" wrapText="1"/>
    </xf>
    <xf numFmtId="0" fontId="35" fillId="0" borderId="10" xfId="0" applyFont="1" applyBorder="1" applyAlignment="1">
      <alignment vertical="center"/>
    </xf>
    <xf numFmtId="49" fontId="35" fillId="0" borderId="10" xfId="28" applyNumberFormat="1" applyFont="1" applyBorder="1" applyAlignment="1">
      <alignment horizontal="center" vertical="center"/>
    </xf>
    <xf numFmtId="43" fontId="35" fillId="20" borderId="10" xfId="28" applyFont="1" applyFill="1" applyBorder="1" applyAlignment="1">
      <alignment horizontal="center" vertical="center"/>
    </xf>
    <xf numFmtId="43" fontId="35" fillId="0" borderId="10" xfId="28" applyFont="1" applyBorder="1" applyAlignment="1">
      <alignment horizontal="center" vertical="center"/>
    </xf>
    <xf numFmtId="43" fontId="35" fillId="21" borderId="10" xfId="28" applyFont="1" applyFill="1" applyBorder="1" applyAlignment="1">
      <alignment horizontal="center" vertical="center"/>
    </xf>
    <xf numFmtId="43" fontId="35" fillId="21" borderId="0" xfId="28" applyFont="1" applyFill="1" applyAlignment="1">
      <alignment horizontal="center"/>
    </xf>
    <xf numFmtId="43" fontId="35" fillId="0" borderId="0" xfId="28" applyFont="1" applyFill="1" applyBorder="1"/>
    <xf numFmtId="43" fontId="35" fillId="0" borderId="0" xfId="28" applyFont="1" applyFill="1"/>
    <xf numFmtId="0" fontId="35" fillId="0" borderId="10" xfId="0" applyFont="1" applyBorder="1" applyAlignment="1">
      <alignment vertical="center" wrapText="1"/>
    </xf>
    <xf numFmtId="43" fontId="35" fillId="0" borderId="10" xfId="28" applyFont="1" applyFill="1" applyBorder="1" applyAlignment="1">
      <alignment horizontal="center" vertical="center"/>
    </xf>
    <xf numFmtId="0" fontId="35" fillId="0" borderId="10" xfId="0" applyFont="1" applyBorder="1" applyAlignment="1">
      <alignment horizontal="center" vertical="center"/>
    </xf>
    <xf numFmtId="43" fontId="35" fillId="22" borderId="10" xfId="28" applyFont="1" applyFill="1" applyBorder="1" applyAlignment="1">
      <alignment horizontal="center" vertical="center"/>
    </xf>
    <xf numFmtId="49" fontId="35" fillId="0" borderId="10" xfId="28" applyNumberFormat="1" applyFont="1" applyBorder="1" applyAlignment="1">
      <alignment horizontal="center" vertical="center" wrapText="1"/>
    </xf>
    <xf numFmtId="43" fontId="36" fillId="0" borderId="10" xfId="28" applyFont="1" applyBorder="1" applyAlignment="1">
      <alignment horizontal="center" vertical="center"/>
    </xf>
    <xf numFmtId="0" fontId="35" fillId="0" borderId="10" xfId="0" applyFont="1" applyFill="1" applyBorder="1" applyAlignment="1">
      <alignment vertical="center"/>
    </xf>
    <xf numFmtId="49" fontId="35" fillId="0" borderId="10" xfId="28" applyNumberFormat="1" applyFont="1" applyFill="1" applyBorder="1" applyAlignment="1">
      <alignment horizontal="center" vertical="center"/>
    </xf>
    <xf numFmtId="43" fontId="9" fillId="0" borderId="10" xfId="28" applyFont="1" applyFill="1" applyBorder="1" applyAlignment="1">
      <alignment horizontal="center" vertical="center"/>
    </xf>
    <xf numFmtId="43" fontId="35" fillId="0" borderId="10" xfId="28" applyFont="1" applyBorder="1" applyAlignment="1">
      <alignment vertical="center"/>
    </xf>
    <xf numFmtId="43" fontId="37" fillId="0" borderId="10" xfId="28" applyFont="1" applyBorder="1" applyAlignment="1">
      <alignment horizontal="center" vertical="center"/>
    </xf>
    <xf numFmtId="43" fontId="35" fillId="20" borderId="24" xfId="28" applyFont="1" applyFill="1" applyBorder="1" applyAlignment="1">
      <alignment vertical="center"/>
    </xf>
    <xf numFmtId="49" fontId="35" fillId="20" borderId="24" xfId="28" applyNumberFormat="1" applyFont="1" applyFill="1" applyBorder="1" applyAlignment="1">
      <alignment horizontal="center" vertical="center"/>
    </xf>
    <xf numFmtId="43" fontId="37" fillId="20" borderId="24" xfId="28" applyFont="1" applyFill="1" applyBorder="1" applyAlignment="1">
      <alignment horizontal="center" vertical="center"/>
    </xf>
    <xf numFmtId="43" fontId="35" fillId="20" borderId="20" xfId="28" applyFont="1" applyFill="1" applyBorder="1" applyAlignment="1">
      <alignment vertical="center"/>
    </xf>
    <xf numFmtId="49" fontId="35" fillId="20" borderId="20" xfId="28" applyNumberFormat="1" applyFont="1" applyFill="1" applyBorder="1" applyAlignment="1">
      <alignment horizontal="center" vertical="center"/>
    </xf>
    <xf numFmtId="43" fontId="35" fillId="20" borderId="20" xfId="28" applyFont="1" applyFill="1" applyBorder="1" applyAlignment="1">
      <alignment horizontal="center" vertical="center"/>
    </xf>
    <xf numFmtId="43" fontId="37" fillId="20" borderId="20" xfId="28" applyFont="1" applyFill="1" applyBorder="1" applyAlignment="1">
      <alignment horizontal="center" vertical="center"/>
    </xf>
    <xf numFmtId="0" fontId="35" fillId="20" borderId="20" xfId="0" applyFont="1" applyFill="1" applyBorder="1" applyAlignment="1">
      <alignment vertical="center"/>
    </xf>
    <xf numFmtId="43" fontId="35" fillId="0" borderId="0" xfId="28" applyFont="1" applyAlignment="1">
      <alignment vertical="center"/>
    </xf>
    <xf numFmtId="49" fontId="35" fillId="0" borderId="0" xfId="28" applyNumberFormat="1" applyFont="1" applyAlignment="1">
      <alignment horizontal="center" vertical="center"/>
    </xf>
    <xf numFmtId="43" fontId="35" fillId="20" borderId="0" xfId="28" applyFont="1" applyFill="1" applyAlignment="1">
      <alignment horizontal="center" vertical="center"/>
    </xf>
    <xf numFmtId="43" fontId="35" fillId="0" borderId="0" xfId="28" applyFont="1" applyAlignment="1">
      <alignment horizontal="center" vertical="center"/>
    </xf>
    <xf numFmtId="49" fontId="35" fillId="0" borderId="0" xfId="28" applyNumberFormat="1" applyFont="1" applyAlignment="1">
      <alignment horizontal="left" vertical="center"/>
    </xf>
    <xf numFmtId="43" fontId="35" fillId="0" borderId="0" xfId="28" applyFont="1" applyAlignment="1">
      <alignment horizontal="left"/>
    </xf>
    <xf numFmtId="43" fontId="9" fillId="0" borderId="10" xfId="28" applyFont="1" applyBorder="1" applyAlignment="1">
      <alignment vertical="center"/>
    </xf>
    <xf numFmtId="49" fontId="9" fillId="0" borderId="10" xfId="28" applyNumberFormat="1" applyFont="1" applyBorder="1" applyAlignment="1">
      <alignment horizontal="center" vertical="center"/>
    </xf>
    <xf numFmtId="43" fontId="38" fillId="20" borderId="10" xfId="28" applyFont="1" applyFill="1" applyBorder="1" applyAlignment="1">
      <alignment horizontal="center" vertical="center"/>
    </xf>
    <xf numFmtId="43" fontId="38" fillId="0" borderId="10" xfId="28" applyFont="1" applyBorder="1" applyAlignment="1">
      <alignment horizontal="center" vertical="center"/>
    </xf>
    <xf numFmtId="43" fontId="38" fillId="21" borderId="10" xfId="28" applyFont="1" applyFill="1" applyBorder="1" applyAlignment="1">
      <alignment horizontal="center" vertical="center"/>
    </xf>
    <xf numFmtId="43" fontId="9" fillId="0" borderId="0" xfId="28" applyFont="1" applyAlignment="1">
      <alignment horizontal="center" vertical="center"/>
    </xf>
    <xf numFmtId="43" fontId="35" fillId="0" borderId="0" xfId="28" applyFont="1" applyAlignment="1">
      <alignment horizontal="centerContinuous"/>
    </xf>
    <xf numFmtId="43" fontId="35" fillId="0" borderId="0" xfId="28" applyFont="1" applyAlignment="1"/>
    <xf numFmtId="43" fontId="35" fillId="0" borderId="11" xfId="28" applyFont="1" applyBorder="1" applyAlignment="1">
      <alignment horizontal="center" vertical="center" wrapText="1"/>
    </xf>
    <xf numFmtId="43" fontId="35" fillId="0" borderId="26" xfId="28" applyFont="1" applyBorder="1" applyAlignment="1">
      <alignment horizontal="center" vertical="center" wrapText="1"/>
    </xf>
    <xf numFmtId="43" fontId="35" fillId="0" borderId="27" xfId="28" applyFont="1" applyBorder="1" applyAlignment="1">
      <alignment horizontal="center" vertical="center" wrapText="1"/>
    </xf>
    <xf numFmtId="43" fontId="9" fillId="0" borderId="10" xfId="28" quotePrefix="1" applyFont="1" applyFill="1" applyBorder="1" applyAlignment="1">
      <alignment horizontal="center" vertical="center"/>
    </xf>
    <xf numFmtId="43" fontId="9" fillId="0" borderId="10" xfId="28" quotePrefix="1" applyFont="1" applyBorder="1" applyAlignment="1">
      <alignment horizontal="center" vertical="center"/>
    </xf>
    <xf numFmtId="43" fontId="9" fillId="0" borderId="10" xfId="28" applyFont="1" applyBorder="1" applyAlignment="1">
      <alignment horizontal="center" vertical="center"/>
    </xf>
    <xf numFmtId="43" fontId="9" fillId="0" borderId="23" xfId="28" applyFont="1" applyBorder="1" applyAlignment="1">
      <alignment horizontal="center" vertical="center"/>
    </xf>
    <xf numFmtId="43" fontId="9" fillId="0" borderId="21" xfId="28" applyFont="1" applyBorder="1" applyAlignment="1">
      <alignment horizontal="center" vertical="center"/>
    </xf>
    <xf numFmtId="43" fontId="9" fillId="0" borderId="0" xfId="28" applyFont="1" applyAlignment="1">
      <alignment vertical="center"/>
    </xf>
    <xf numFmtId="43" fontId="39" fillId="0" borderId="10" xfId="28" applyFont="1" applyBorder="1" applyAlignment="1">
      <alignment horizontal="center" vertical="center"/>
    </xf>
    <xf numFmtId="43" fontId="39" fillId="0" borderId="10" xfId="28" applyFont="1" applyFill="1" applyBorder="1" applyAlignment="1">
      <alignment horizontal="center" vertical="center"/>
    </xf>
    <xf numFmtId="43" fontId="39" fillId="0" borderId="22" xfId="28" applyFont="1" applyBorder="1" applyAlignment="1">
      <alignment horizontal="center" vertical="center"/>
    </xf>
    <xf numFmtId="43" fontId="39" fillId="0" borderId="20" xfId="28" applyFont="1" applyBorder="1" applyAlignment="1">
      <alignment horizontal="center" vertical="center"/>
    </xf>
    <xf numFmtId="43" fontId="35" fillId="0" borderId="20" xfId="28" applyFont="1" applyBorder="1" applyAlignment="1">
      <alignment horizontal="center" vertical="center"/>
    </xf>
    <xf numFmtId="0" fontId="9" fillId="0" borderId="10" xfId="0" applyFont="1" applyBorder="1" applyAlignment="1">
      <alignment vertical="center"/>
    </xf>
    <xf numFmtId="43" fontId="35" fillId="0" borderId="10" xfId="28" applyFont="1" applyFill="1" applyBorder="1" applyAlignment="1">
      <alignment vertical="center"/>
    </xf>
    <xf numFmtId="43" fontId="35" fillId="0" borderId="20" xfId="28" applyFont="1" applyFill="1" applyBorder="1" applyAlignment="1">
      <alignment horizontal="center" vertical="center"/>
    </xf>
    <xf numFmtId="43" fontId="35" fillId="0" borderId="0" xfId="28" applyFont="1" applyFill="1" applyAlignment="1">
      <alignment vertical="center"/>
    </xf>
    <xf numFmtId="43" fontId="40" fillId="0" borderId="10" xfId="28" applyFont="1" applyBorder="1" applyAlignment="1">
      <alignment horizontal="center" vertical="center"/>
    </xf>
    <xf numFmtId="43" fontId="40" fillId="0" borderId="10" xfId="28" applyFont="1" applyFill="1" applyBorder="1" applyAlignment="1">
      <alignment horizontal="center" vertical="center"/>
    </xf>
    <xf numFmtId="43" fontId="40" fillId="0" borderId="20" xfId="28" applyFont="1" applyBorder="1" applyAlignment="1">
      <alignment horizontal="center" vertical="center"/>
    </xf>
    <xf numFmtId="43" fontId="9" fillId="0" borderId="20" xfId="28" applyFont="1" applyBorder="1" applyAlignment="1">
      <alignment horizontal="center" vertical="center"/>
    </xf>
    <xf numFmtId="43" fontId="39" fillId="0" borderId="20" xfId="28" applyFont="1" applyFill="1" applyBorder="1" applyAlignment="1">
      <alignment horizontal="center" vertical="center"/>
    </xf>
    <xf numFmtId="43" fontId="40" fillId="0" borderId="20" xfId="28" applyFont="1" applyFill="1" applyBorder="1" applyAlignment="1">
      <alignment horizontal="center" vertical="center"/>
    </xf>
    <xf numFmtId="43" fontId="40" fillId="0" borderId="0" xfId="28" applyFont="1" applyAlignment="1">
      <alignment vertical="center"/>
    </xf>
    <xf numFmtId="0" fontId="9" fillId="0" borderId="10" xfId="0" applyFont="1" applyBorder="1" applyAlignment="1">
      <alignment horizontal="left" vertical="center"/>
    </xf>
    <xf numFmtId="43" fontId="38" fillId="0" borderId="10" xfId="28" applyFont="1" applyFill="1" applyBorder="1" applyAlignment="1">
      <alignment horizontal="center" vertical="center"/>
    </xf>
    <xf numFmtId="43" fontId="37" fillId="0" borderId="10" xfId="28" applyFont="1" applyFill="1" applyBorder="1" applyAlignment="1">
      <alignment horizontal="center" vertical="center"/>
    </xf>
    <xf numFmtId="43" fontId="37" fillId="0" borderId="20" xfId="28" applyFont="1" applyBorder="1" applyAlignment="1">
      <alignment horizontal="center" vertical="center"/>
    </xf>
    <xf numFmtId="43" fontId="37" fillId="0" borderId="0" xfId="28" applyFont="1" applyAlignment="1">
      <alignment vertical="center"/>
    </xf>
    <xf numFmtId="43" fontId="39" fillId="0" borderId="10" xfId="28" applyFont="1" applyBorder="1" applyAlignment="1">
      <alignment vertical="center"/>
    </xf>
    <xf numFmtId="43" fontId="39" fillId="0" borderId="0" xfId="28" applyFont="1" applyAlignment="1">
      <alignment vertical="center"/>
    </xf>
    <xf numFmtId="43" fontId="38" fillId="0" borderId="20" xfId="28" applyFont="1" applyBorder="1" applyAlignment="1">
      <alignment horizontal="center" vertical="center"/>
    </xf>
    <xf numFmtId="43" fontId="38" fillId="0" borderId="0" xfId="28" applyFont="1" applyAlignment="1">
      <alignment vertical="center"/>
    </xf>
    <xf numFmtId="43" fontId="35" fillId="0" borderId="10" xfId="28" applyFont="1" applyBorder="1"/>
    <xf numFmtId="43" fontId="35" fillId="0" borderId="10" xfId="28" applyFont="1" applyBorder="1" applyAlignment="1">
      <alignment horizontal="center"/>
    </xf>
    <xf numFmtId="43" fontId="35" fillId="0" borderId="10" xfId="28" applyFont="1" applyFill="1" applyBorder="1" applyAlignment="1">
      <alignment horizontal="center"/>
    </xf>
    <xf numFmtId="43" fontId="35" fillId="0" borderId="20" xfId="28" applyFont="1" applyBorder="1" applyAlignment="1">
      <alignment horizontal="center"/>
    </xf>
    <xf numFmtId="43" fontId="35" fillId="18" borderId="24" xfId="28" applyFont="1" applyFill="1" applyBorder="1"/>
    <xf numFmtId="43" fontId="35" fillId="18" borderId="24" xfId="28" applyFont="1" applyFill="1" applyBorder="1" applyAlignment="1">
      <alignment horizontal="center"/>
    </xf>
    <xf numFmtId="43" fontId="35" fillId="0" borderId="24" xfId="28" applyFont="1" applyFill="1" applyBorder="1" applyAlignment="1">
      <alignment horizontal="center"/>
    </xf>
    <xf numFmtId="43" fontId="35" fillId="18" borderId="20" xfId="28" applyFont="1" applyFill="1" applyBorder="1" applyAlignment="1">
      <alignment horizontal="center"/>
    </xf>
    <xf numFmtId="43" fontId="35" fillId="18" borderId="0" xfId="28" applyFont="1" applyFill="1"/>
    <xf numFmtId="43" fontId="35" fillId="0" borderId="0" xfId="28" applyFont="1" applyFill="1" applyAlignment="1">
      <alignment horizontal="center"/>
    </xf>
    <xf numFmtId="43" fontId="9" fillId="0" borderId="0" xfId="28" applyFont="1" applyAlignment="1">
      <alignment horizontal="left"/>
    </xf>
    <xf numFmtId="17" fontId="35" fillId="0" borderId="0" xfId="0" applyNumberFormat="1" applyFont="1" applyFill="1" applyAlignment="1" applyProtection="1">
      <alignment horizontal="centerContinuous"/>
    </xf>
    <xf numFmtId="17" fontId="35" fillId="0" borderId="0" xfId="0" applyNumberFormat="1" applyFont="1" applyFill="1" applyAlignment="1" applyProtection="1">
      <alignment horizontal="center"/>
    </xf>
    <xf numFmtId="0" fontId="35" fillId="0" borderId="0" xfId="0" applyFont="1" applyFill="1" applyAlignment="1" applyProtection="1">
      <alignment horizontal="center"/>
    </xf>
    <xf numFmtId="0" fontId="35" fillId="0" borderId="0" xfId="0" applyFont="1" applyFill="1"/>
    <xf numFmtId="17" fontId="9" fillId="0" borderId="0" xfId="0" applyNumberFormat="1" applyFont="1" applyFill="1" applyAlignment="1" applyProtection="1">
      <alignment horizontal="centerContinuous"/>
    </xf>
    <xf numFmtId="17" fontId="9" fillId="0" borderId="0" xfId="0" applyNumberFormat="1" applyFont="1" applyFill="1" applyAlignment="1" applyProtection="1">
      <alignment horizontal="center"/>
    </xf>
    <xf numFmtId="0" fontId="9" fillId="0" borderId="0" xfId="0" applyFont="1" applyFill="1" applyAlignment="1">
      <alignment horizontal="centerContinuous"/>
    </xf>
    <xf numFmtId="0" fontId="9" fillId="0" borderId="0" xfId="0" applyFont="1" applyFill="1" applyAlignment="1">
      <alignment horizontal="center"/>
    </xf>
    <xf numFmtId="0" fontId="9" fillId="0" borderId="0" xfId="0" applyFont="1" applyFill="1" applyAlignment="1">
      <alignment horizontal="left"/>
    </xf>
    <xf numFmtId="43" fontId="35" fillId="0" borderId="0" xfId="28" applyFont="1" applyFill="1" applyAlignment="1" applyProtection="1">
      <alignment horizontal="left"/>
    </xf>
    <xf numFmtId="43" fontId="9" fillId="0" borderId="26" xfId="0" applyNumberFormat="1" applyFont="1" applyFill="1" applyBorder="1"/>
    <xf numFmtId="0" fontId="35" fillId="0" borderId="0" xfId="0" quotePrefix="1" applyFont="1" applyFill="1" applyAlignment="1">
      <alignment horizontal="left"/>
    </xf>
    <xf numFmtId="0" fontId="35" fillId="0" borderId="0" xfId="0" quotePrefix="1" applyFont="1" applyFill="1" applyAlignment="1" applyProtection="1">
      <alignment horizontal="left"/>
    </xf>
    <xf numFmtId="43" fontId="35" fillId="0" borderId="0" xfId="28" applyFont="1" applyFill="1" applyBorder="1" applyAlignment="1" applyProtection="1">
      <alignment horizontal="left"/>
    </xf>
    <xf numFmtId="43" fontId="9" fillId="0" borderId="0" xfId="0" applyNumberFormat="1" applyFont="1" applyFill="1" applyBorder="1" applyAlignment="1" applyProtection="1">
      <alignment horizontal="left"/>
    </xf>
    <xf numFmtId="43" fontId="35" fillId="0" borderId="0" xfId="0" applyNumberFormat="1" applyFont="1" applyFill="1" applyBorder="1"/>
    <xf numFmtId="0" fontId="9" fillId="0" borderId="0" xfId="0" applyFont="1" applyFill="1"/>
    <xf numFmtId="0" fontId="35" fillId="0" borderId="0" xfId="0" applyFont="1" applyFill="1" applyBorder="1"/>
    <xf numFmtId="43" fontId="35" fillId="0" borderId="0" xfId="0" applyNumberFormat="1" applyFont="1" applyFill="1"/>
    <xf numFmtId="0" fontId="35" fillId="0" borderId="0" xfId="0" applyFont="1" applyFill="1" applyAlignment="1" applyProtection="1">
      <alignment horizontal="left"/>
    </xf>
    <xf numFmtId="43" fontId="35" fillId="0" borderId="0" xfId="28" quotePrefix="1" applyFont="1" applyFill="1" applyAlignment="1" applyProtection="1">
      <alignment horizontal="left"/>
    </xf>
    <xf numFmtId="43" fontId="35" fillId="0" borderId="0" xfId="28" quotePrefix="1" applyFont="1" applyFill="1" applyBorder="1" applyAlignment="1" applyProtection="1">
      <alignment horizontal="left"/>
    </xf>
    <xf numFmtId="43" fontId="36" fillId="0" borderId="0" xfId="28" applyFont="1" applyFill="1"/>
    <xf numFmtId="43" fontId="35" fillId="0" borderId="0" xfId="0" quotePrefix="1" applyNumberFormat="1" applyFont="1" applyFill="1" applyBorder="1" applyAlignment="1" applyProtection="1">
      <alignment horizontal="left"/>
    </xf>
    <xf numFmtId="0" fontId="35" fillId="0" borderId="0" xfId="0" quotePrefix="1" applyFont="1" applyFill="1"/>
    <xf numFmtId="14" fontId="35" fillId="0" borderId="0" xfId="0" applyNumberFormat="1" applyFont="1" applyFill="1"/>
    <xf numFmtId="16" fontId="35" fillId="0" borderId="0" xfId="0" quotePrefix="1" applyNumberFormat="1" applyFont="1" applyFill="1"/>
    <xf numFmtId="43" fontId="35" fillId="0" borderId="0" xfId="28" applyFont="1" applyFill="1" applyAlignment="1" applyProtection="1">
      <alignment horizontal="center"/>
    </xf>
    <xf numFmtId="43" fontId="35" fillId="0" borderId="26" xfId="28" applyFont="1" applyFill="1" applyBorder="1"/>
    <xf numFmtId="16" fontId="35" fillId="0" borderId="0" xfId="0" applyNumberFormat="1" applyFont="1" applyFill="1" applyAlignment="1" applyProtection="1">
      <alignment horizontal="left"/>
    </xf>
    <xf numFmtId="43" fontId="9" fillId="0" borderId="0" xfId="28" applyFont="1" applyFill="1"/>
    <xf numFmtId="43" fontId="35" fillId="0" borderId="26" xfId="28" applyFont="1" applyFill="1" applyBorder="1" applyAlignment="1" applyProtection="1">
      <alignment horizontal="left"/>
    </xf>
    <xf numFmtId="43" fontId="9" fillId="0" borderId="15" xfId="0" applyNumberFormat="1" applyFont="1" applyFill="1" applyBorder="1" applyAlignment="1" applyProtection="1">
      <alignment horizontal="left"/>
    </xf>
    <xf numFmtId="43" fontId="35" fillId="0" borderId="0" xfId="28" applyFont="1" applyFill="1" applyBorder="1" applyProtection="1"/>
    <xf numFmtId="43" fontId="35" fillId="0" borderId="0" xfId="0" applyNumberFormat="1" applyFont="1" applyFill="1" applyBorder="1" applyAlignment="1" applyProtection="1">
      <alignment horizontal="left"/>
    </xf>
    <xf numFmtId="0" fontId="35" fillId="0" borderId="0" xfId="0" applyFont="1" applyFill="1" applyBorder="1" applyAlignment="1" applyProtection="1">
      <alignment horizontal="left"/>
    </xf>
    <xf numFmtId="0" fontId="35" fillId="0" borderId="0" xfId="0" applyFont="1" applyFill="1" applyAlignment="1" applyProtection="1">
      <alignment horizontal="right"/>
    </xf>
    <xf numFmtId="0" fontId="9" fillId="0" borderId="0" xfId="0" applyFont="1" applyFill="1" applyAlignment="1" applyProtection="1">
      <alignment horizontal="left"/>
    </xf>
    <xf numFmtId="43" fontId="9" fillId="0" borderId="15" xfId="28" applyFont="1" applyFill="1" applyBorder="1" applyAlignment="1" applyProtection="1">
      <alignment horizontal="left"/>
    </xf>
    <xf numFmtId="43" fontId="9" fillId="0" borderId="0" xfId="28" applyFont="1" applyFill="1" applyBorder="1" applyAlignment="1" applyProtection="1">
      <alignment horizontal="left"/>
    </xf>
    <xf numFmtId="43" fontId="35" fillId="0" borderId="30" xfId="28" applyFont="1" applyFill="1" applyBorder="1" applyAlignment="1" applyProtection="1">
      <alignment horizontal="left"/>
    </xf>
    <xf numFmtId="0" fontId="9" fillId="0" borderId="0" xfId="0" applyFont="1" applyFill="1" applyBorder="1"/>
    <xf numFmtId="0" fontId="9" fillId="0" borderId="0" xfId="0" applyFont="1" applyFill="1" applyBorder="1" applyAlignment="1" applyProtection="1">
      <alignment horizontal="left"/>
    </xf>
    <xf numFmtId="0" fontId="35" fillId="0" borderId="0" xfId="0" applyFont="1" applyFill="1" applyAlignment="1">
      <alignment horizontal="left"/>
    </xf>
    <xf numFmtId="43" fontId="41" fillId="0" borderId="0" xfId="28" applyFont="1" applyFill="1" applyBorder="1" applyProtection="1"/>
    <xf numFmtId="0" fontId="35" fillId="0" borderId="0" xfId="0" applyFont="1" applyFill="1" applyAlignment="1">
      <alignment horizontal="right"/>
    </xf>
    <xf numFmtId="43" fontId="35" fillId="22" borderId="0" xfId="28" applyFont="1" applyFill="1"/>
    <xf numFmtId="43" fontId="41" fillId="0" borderId="0" xfId="28" applyFont="1" applyFill="1" applyBorder="1" applyAlignment="1" applyProtection="1">
      <alignment horizontal="left"/>
    </xf>
    <xf numFmtId="43" fontId="36" fillId="0" borderId="0" xfId="28" applyFont="1" applyFill="1" applyBorder="1" applyProtection="1"/>
    <xf numFmtId="0" fontId="9" fillId="22" borderId="0" xfId="0" applyFont="1" applyFill="1"/>
    <xf numFmtId="0" fontId="35" fillId="22" borderId="0" xfId="0" quotePrefix="1" applyFont="1" applyFill="1"/>
    <xf numFmtId="0" fontId="35" fillId="22" borderId="0" xfId="0" applyFont="1" applyFill="1"/>
    <xf numFmtId="0" fontId="35" fillId="22" borderId="0" xfId="0" applyFont="1" applyFill="1" applyAlignment="1">
      <alignment horizontal="right"/>
    </xf>
    <xf numFmtId="43" fontId="9" fillId="22" borderId="0" xfId="28" applyFont="1" applyFill="1" applyBorder="1" applyAlignment="1" applyProtection="1">
      <alignment horizontal="left"/>
    </xf>
    <xf numFmtId="43" fontId="35" fillId="22" borderId="0" xfId="28" applyFont="1" applyFill="1" applyBorder="1" applyProtection="1"/>
    <xf numFmtId="14" fontId="35" fillId="0" borderId="0" xfId="28" applyNumberFormat="1" applyFont="1" applyFill="1"/>
    <xf numFmtId="0" fontId="9" fillId="0" borderId="31" xfId="0" applyFont="1" applyFill="1" applyBorder="1"/>
    <xf numFmtId="43" fontId="9" fillId="0" borderId="26" xfId="28" applyFont="1" applyFill="1" applyBorder="1"/>
    <xf numFmtId="43" fontId="9" fillId="0" borderId="26" xfId="28" applyFont="1" applyFill="1" applyBorder="1" applyAlignment="1" applyProtection="1">
      <alignment horizontal="left"/>
    </xf>
    <xf numFmtId="43" fontId="35" fillId="0" borderId="0" xfId="28" quotePrefix="1" applyFont="1" applyFill="1" applyBorder="1"/>
    <xf numFmtId="43" fontId="35" fillId="0" borderId="0" xfId="28" applyFont="1" applyFill="1" applyBorder="1" applyAlignment="1" applyProtection="1">
      <alignment horizontal="fill"/>
    </xf>
    <xf numFmtId="43" fontId="9" fillId="0" borderId="15" xfId="28" quotePrefix="1" applyFont="1" applyFill="1" applyBorder="1"/>
    <xf numFmtId="43" fontId="9" fillId="0" borderId="0" xfId="28" quotePrefix="1" applyFont="1" applyFill="1" applyBorder="1"/>
    <xf numFmtId="14" fontId="35" fillId="0" borderId="0" xfId="0" applyNumberFormat="1" applyFont="1" applyFill="1" applyAlignment="1" applyProtection="1">
      <alignment horizontal="left"/>
    </xf>
    <xf numFmtId="43" fontId="41" fillId="0" borderId="0" xfId="28" applyFont="1" applyFill="1"/>
    <xf numFmtId="43" fontId="36" fillId="0" borderId="0" xfId="0" applyNumberFormat="1" applyFont="1" applyFill="1"/>
    <xf numFmtId="43" fontId="9" fillId="0" borderId="12" xfId="0" applyNumberFormat="1" applyFont="1" applyFill="1" applyBorder="1"/>
    <xf numFmtId="43" fontId="9" fillId="0" borderId="0" xfId="0" applyNumberFormat="1" applyFont="1" applyFill="1" applyBorder="1"/>
    <xf numFmtId="43" fontId="9" fillId="0" borderId="0" xfId="0" applyNumberFormat="1" applyFont="1" applyFill="1"/>
    <xf numFmtId="43" fontId="9" fillId="0" borderId="12" xfId="28" applyFont="1" applyFill="1" applyBorder="1"/>
    <xf numFmtId="43" fontId="9" fillId="0" borderId="0" xfId="28" applyFont="1" applyFill="1" applyBorder="1"/>
    <xf numFmtId="43" fontId="35" fillId="0" borderId="12" xfId="0" applyNumberFormat="1" applyFont="1" applyFill="1" applyBorder="1"/>
    <xf numFmtId="43" fontId="9" fillId="0" borderId="0" xfId="0" quotePrefix="1" applyNumberFormat="1" applyFont="1" applyFill="1" applyBorder="1"/>
    <xf numFmtId="43" fontId="35" fillId="0" borderId="26" xfId="0" applyNumberFormat="1" applyFont="1" applyFill="1" applyBorder="1"/>
    <xf numFmtId="43" fontId="9" fillId="0" borderId="0" xfId="28" applyFont="1" applyFill="1" applyBorder="1" applyAlignment="1" applyProtection="1">
      <alignment horizontal="fill"/>
    </xf>
    <xf numFmtId="43" fontId="36" fillId="0" borderId="30" xfId="28" applyFont="1" applyFill="1" applyBorder="1"/>
    <xf numFmtId="4" fontId="9" fillId="0" borderId="0" xfId="0" applyNumberFormat="1" applyFont="1" applyFill="1" applyBorder="1"/>
    <xf numFmtId="0" fontId="35" fillId="0" borderId="0" xfId="0" quotePrefix="1" applyFont="1" applyFill="1" applyBorder="1"/>
    <xf numFmtId="43" fontId="36" fillId="0" borderId="0" xfId="0" applyNumberFormat="1" applyFont="1" applyFill="1" applyBorder="1"/>
    <xf numFmtId="0" fontId="42" fillId="0" borderId="0" xfId="0" applyFont="1" applyFill="1" applyBorder="1" applyAlignment="1">
      <alignment vertical="center" wrapText="1"/>
    </xf>
    <xf numFmtId="43" fontId="42" fillId="0" borderId="0" xfId="28" applyFont="1" applyFill="1" applyBorder="1" applyAlignment="1">
      <alignment horizontal="center" vertical="center"/>
    </xf>
    <xf numFmtId="43" fontId="9" fillId="0" borderId="0" xfId="28" quotePrefix="1" applyFont="1" applyFill="1" applyAlignment="1" applyProtection="1">
      <alignment horizontal="left"/>
    </xf>
    <xf numFmtId="43" fontId="35" fillId="0" borderId="30" xfId="0" applyNumberFormat="1" applyFont="1" applyFill="1" applyBorder="1"/>
    <xf numFmtId="43" fontId="35" fillId="0" borderId="31" xfId="28" applyFont="1" applyFill="1" applyBorder="1"/>
    <xf numFmtId="43" fontId="35" fillId="0" borderId="0" xfId="28" quotePrefix="1" applyFont="1" applyFill="1"/>
    <xf numFmtId="14" fontId="35" fillId="0" borderId="0" xfId="0" applyNumberFormat="1" applyFont="1" applyFill="1" applyBorder="1"/>
    <xf numFmtId="43" fontId="36" fillId="0" borderId="0" xfId="28" applyFont="1" applyFill="1" applyBorder="1"/>
    <xf numFmtId="43" fontId="35" fillId="0" borderId="0" xfId="28" quotePrefix="1" applyFont="1" applyFill="1" applyBorder="1" applyAlignment="1" applyProtection="1">
      <alignment horizontal="fill"/>
    </xf>
    <xf numFmtId="43" fontId="9" fillId="0" borderId="0" xfId="28" applyFont="1" applyFill="1" applyBorder="1" applyAlignment="1">
      <alignment horizontal="center"/>
    </xf>
    <xf numFmtId="0" fontId="35" fillId="0" borderId="0" xfId="0" applyFont="1" applyFill="1" applyAlignment="1">
      <alignment horizontal="center"/>
    </xf>
    <xf numFmtId="14" fontId="35" fillId="0" borderId="0" xfId="0" quotePrefix="1" applyNumberFormat="1" applyFont="1" applyFill="1"/>
    <xf numFmtId="43" fontId="35" fillId="0" borderId="12" xfId="28" applyFont="1" applyFill="1" applyBorder="1"/>
    <xf numFmtId="0" fontId="36" fillId="0" borderId="0" xfId="0" applyFont="1" applyFill="1"/>
    <xf numFmtId="43" fontId="36" fillId="0" borderId="0" xfId="28" quotePrefix="1" applyFont="1" applyFill="1"/>
    <xf numFmtId="43" fontId="35" fillId="0" borderId="0" xfId="28" applyFont="1" applyFill="1" applyBorder="1" applyAlignment="1" applyProtection="1">
      <alignment horizontal="center"/>
    </xf>
    <xf numFmtId="43" fontId="35" fillId="0" borderId="0" xfId="0" applyNumberFormat="1" applyFont="1" applyFill="1" applyBorder="1" applyAlignment="1">
      <alignment horizontal="right"/>
    </xf>
    <xf numFmtId="43" fontId="36" fillId="0" borderId="0" xfId="28" applyFont="1" applyFill="1" applyBorder="1" applyAlignment="1" applyProtection="1">
      <alignment horizontal="fill"/>
    </xf>
    <xf numFmtId="43" fontId="35" fillId="0" borderId="30" xfId="28" applyFont="1" applyFill="1" applyBorder="1" applyAlignment="1" applyProtection="1">
      <alignment horizontal="fill"/>
    </xf>
    <xf numFmtId="43" fontId="43" fillId="0" borderId="0" xfId="28" applyFont="1" applyFill="1" applyBorder="1"/>
    <xf numFmtId="43" fontId="9" fillId="0" borderId="15" xfId="0" applyNumberFormat="1" applyFont="1" applyFill="1" applyBorder="1"/>
    <xf numFmtId="14" fontId="35" fillId="0" borderId="0" xfId="28" applyNumberFormat="1" applyFont="1" applyFill="1" applyBorder="1"/>
    <xf numFmtId="14" fontId="35" fillId="0" borderId="0" xfId="0" applyNumberFormat="1" applyFont="1" applyFill="1" applyAlignment="1">
      <alignment horizontal="center"/>
    </xf>
    <xf numFmtId="43" fontId="35" fillId="0" borderId="0" xfId="28" applyFont="1" applyFill="1" applyBorder="1" applyAlignment="1" applyProtection="1">
      <alignment horizontal="right"/>
    </xf>
    <xf numFmtId="43" fontId="9" fillId="0" borderId="0" xfId="28" quotePrefix="1" applyFont="1" applyFill="1"/>
    <xf numFmtId="43" fontId="35" fillId="0" borderId="15" xfId="28" applyFont="1" applyFill="1" applyBorder="1"/>
    <xf numFmtId="43" fontId="9" fillId="0" borderId="15" xfId="28" applyFont="1" applyFill="1" applyBorder="1"/>
    <xf numFmtId="43" fontId="9" fillId="0" borderId="30" xfId="28" applyFont="1" applyFill="1" applyBorder="1"/>
    <xf numFmtId="43" fontId="35" fillId="0" borderId="0" xfId="0" quotePrefix="1" applyNumberFormat="1" applyFont="1" applyFill="1" applyBorder="1"/>
    <xf numFmtId="43" fontId="35" fillId="0" borderId="0" xfId="0" quotePrefix="1" applyNumberFormat="1" applyFont="1" applyFill="1"/>
    <xf numFmtId="0" fontId="35" fillId="0" borderId="0" xfId="0" quotePrefix="1" applyFont="1" applyFill="1" applyAlignment="1">
      <alignment horizontal="right"/>
    </xf>
    <xf numFmtId="43" fontId="9" fillId="0" borderId="0" xfId="28" applyFont="1" applyFill="1" applyAlignment="1" applyProtection="1">
      <alignment horizontal="left"/>
    </xf>
    <xf numFmtId="43" fontId="36" fillId="0" borderId="12" xfId="28" applyFont="1" applyFill="1" applyBorder="1"/>
    <xf numFmtId="0" fontId="35" fillId="0" borderId="0" xfId="0" quotePrefix="1" applyFont="1" applyFill="1" applyAlignment="1">
      <alignment horizontal="center"/>
    </xf>
    <xf numFmtId="0" fontId="36" fillId="0" borderId="0" xfId="0" quotePrefix="1" applyFont="1" applyFill="1"/>
    <xf numFmtId="0" fontId="36" fillId="0" borderId="0" xfId="0" applyFont="1" applyFill="1" applyBorder="1"/>
    <xf numFmtId="43" fontId="9" fillId="0" borderId="29" xfId="28" applyFont="1" applyFill="1" applyBorder="1" applyAlignment="1" applyProtection="1">
      <alignment horizontal="left"/>
    </xf>
    <xf numFmtId="49" fontId="44" fillId="0" borderId="0" xfId="28" applyNumberFormat="1" applyFont="1" applyFill="1" applyAlignment="1"/>
    <xf numFmtId="49" fontId="35" fillId="0" borderId="0" xfId="28" applyNumberFormat="1" applyFont="1" applyFill="1" applyAlignment="1"/>
    <xf numFmtId="0" fontId="2" fillId="0" borderId="0" xfId="43"/>
    <xf numFmtId="0" fontId="2" fillId="0" borderId="0" xfId="43" applyNumberFormat="1"/>
    <xf numFmtId="43" fontId="5" fillId="0" borderId="0" xfId="44" applyFont="1" applyFill="1" applyAlignment="1">
      <alignment horizontal="left"/>
    </xf>
    <xf numFmtId="43" fontId="6" fillId="0" borderId="0" xfId="44" applyFont="1" applyFill="1" applyAlignment="1">
      <alignment horizontal="left"/>
    </xf>
    <xf numFmtId="43" fontId="4" fillId="0" borderId="0" xfId="28" applyFont="1" applyFill="1" applyAlignment="1">
      <alignment horizontal="left" vertical="center"/>
    </xf>
    <xf numFmtId="43" fontId="2" fillId="0" borderId="0" xfId="43" applyNumberFormat="1"/>
    <xf numFmtId="43" fontId="2" fillId="0" borderId="0" xfId="28" applyFont="1"/>
    <xf numFmtId="0" fontId="2" fillId="0" borderId="0" xfId="43" applyNumberFormat="1" applyFont="1"/>
    <xf numFmtId="43" fontId="2" fillId="0" borderId="19" xfId="28" applyFont="1" applyBorder="1"/>
    <xf numFmtId="0" fontId="2" fillId="0" borderId="10" xfId="43" applyBorder="1"/>
    <xf numFmtId="43" fontId="2" fillId="0" borderId="13" xfId="28" applyFont="1" applyBorder="1"/>
    <xf numFmtId="43" fontId="2" fillId="0" borderId="10" xfId="28" applyFont="1" applyBorder="1"/>
    <xf numFmtId="43" fontId="2" fillId="0" borderId="32" xfId="28" applyFont="1" applyBorder="1"/>
    <xf numFmtId="0" fontId="2" fillId="0" borderId="0" xfId="43" applyAlignment="1"/>
    <xf numFmtId="43" fontId="2" fillId="0" borderId="19" xfId="28" applyFont="1" applyBorder="1" applyAlignment="1"/>
    <xf numFmtId="43" fontId="2" fillId="0" borderId="33" xfId="28" applyFont="1" applyBorder="1"/>
    <xf numFmtId="0" fontId="2" fillId="0" borderId="0" xfId="43" applyFont="1"/>
    <xf numFmtId="0" fontId="2" fillId="0" borderId="0" xfId="43" applyNumberFormat="1" applyAlignment="1">
      <alignment horizontal="left"/>
    </xf>
    <xf numFmtId="43" fontId="5" fillId="0" borderId="0" xfId="44" applyFont="1" applyFill="1" applyAlignment="1">
      <alignment horizontal="centerContinuous" vertical="center"/>
    </xf>
    <xf numFmtId="43" fontId="6" fillId="0" borderId="0" xfId="44" applyFont="1" applyFill="1" applyAlignment="1">
      <alignment horizontal="centerContinuous" vertical="center"/>
    </xf>
    <xf numFmtId="43" fontId="5" fillId="0" borderId="0" xfId="44" applyFont="1" applyFill="1" applyAlignment="1">
      <alignment horizontal="center" vertical="center"/>
    </xf>
    <xf numFmtId="43" fontId="6" fillId="0" borderId="0" xfId="44" applyFont="1" applyFill="1" applyAlignment="1">
      <alignment horizontal="center" vertical="center"/>
    </xf>
    <xf numFmtId="0" fontId="2" fillId="0" borderId="0" xfId="43" applyBorder="1"/>
    <xf numFmtId="43" fontId="2" fillId="0" borderId="0" xfId="28" applyFont="1" applyBorder="1"/>
    <xf numFmtId="43" fontId="2" fillId="0" borderId="0" xfId="28" applyFont="1" applyBorder="1" applyAlignment="1"/>
    <xf numFmtId="17" fontId="6" fillId="0" borderId="0" xfId="44" applyNumberFormat="1" applyFont="1" applyFill="1" applyAlignment="1">
      <alignment horizontal="center" vertical="center"/>
    </xf>
    <xf numFmtId="43" fontId="35" fillId="23" borderId="10" xfId="28" applyFont="1" applyFill="1" applyBorder="1" applyAlignment="1">
      <alignment horizontal="center" vertical="center"/>
    </xf>
    <xf numFmtId="43" fontId="35" fillId="23" borderId="10" xfId="28" applyFont="1" applyFill="1" applyBorder="1"/>
    <xf numFmtId="43" fontId="38" fillId="23" borderId="10" xfId="28" applyFont="1" applyFill="1" applyBorder="1" applyAlignment="1">
      <alignment horizontal="center" vertical="center"/>
    </xf>
    <xf numFmtId="43" fontId="35" fillId="24" borderId="10" xfId="28" applyFont="1" applyFill="1" applyBorder="1" applyAlignment="1">
      <alignment horizontal="center" vertical="center"/>
    </xf>
    <xf numFmtId="43" fontId="2" fillId="0" borderId="14" xfId="28" applyFont="1" applyBorder="1"/>
    <xf numFmtId="43" fontId="2" fillId="0" borderId="17" xfId="28" applyFont="1" applyBorder="1"/>
    <xf numFmtId="43" fontId="2" fillId="0" borderId="34" xfId="28" applyFont="1" applyBorder="1"/>
    <xf numFmtId="43" fontId="2" fillId="0" borderId="28" xfId="28" applyFont="1" applyBorder="1"/>
    <xf numFmtId="43" fontId="9" fillId="0" borderId="16" xfId="28" applyFont="1" applyBorder="1" applyAlignment="1">
      <alignment horizontal="center" vertical="center" wrapText="1"/>
    </xf>
    <xf numFmtId="43" fontId="9" fillId="0" borderId="13" xfId="28" applyFont="1" applyBorder="1" applyAlignment="1">
      <alignment horizontal="center" vertical="center" wrapText="1"/>
    </xf>
    <xf numFmtId="43" fontId="9" fillId="21" borderId="16" xfId="28" applyFont="1" applyFill="1" applyBorder="1" applyAlignment="1">
      <alignment horizontal="center" vertical="center" wrapText="1"/>
    </xf>
    <xf numFmtId="43" fontId="9" fillId="21" borderId="13" xfId="28" applyFont="1" applyFill="1" applyBorder="1" applyAlignment="1">
      <alignment horizontal="center" vertical="center" wrapText="1"/>
    </xf>
    <xf numFmtId="43" fontId="9" fillId="0" borderId="0" xfId="28" applyFont="1" applyAlignment="1">
      <alignment horizontal="center"/>
    </xf>
    <xf numFmtId="43" fontId="9" fillId="23" borderId="16" xfId="28" applyFont="1" applyFill="1" applyBorder="1" applyAlignment="1">
      <alignment horizontal="center" vertical="center" wrapText="1"/>
    </xf>
    <xf numFmtId="43" fontId="9" fillId="23" borderId="13" xfId="28" applyFont="1" applyFill="1" applyBorder="1" applyAlignment="1">
      <alignment horizontal="center" vertical="center" wrapText="1"/>
    </xf>
    <xf numFmtId="43" fontId="35" fillId="24" borderId="12" xfId="28" applyFont="1" applyFill="1" applyBorder="1" applyAlignment="1">
      <alignment horizontal="center" vertical="center"/>
    </xf>
    <xf numFmtId="43" fontId="35" fillId="0" borderId="0" xfId="28" applyFont="1" applyAlignment="1">
      <alignment horizontal="center"/>
    </xf>
    <xf numFmtId="49" fontId="9" fillId="0" borderId="16" xfId="28" applyNumberFormat="1" applyFont="1" applyBorder="1" applyAlignment="1">
      <alignment horizontal="center" vertical="center" wrapText="1"/>
    </xf>
    <xf numFmtId="49" fontId="9" fillId="0" borderId="13" xfId="28" applyNumberFormat="1" applyFont="1" applyBorder="1" applyAlignment="1">
      <alignment horizontal="center" vertical="center" wrapText="1"/>
    </xf>
    <xf numFmtId="0" fontId="2" fillId="0" borderId="10" xfId="43" applyBorder="1" applyAlignment="1">
      <alignment horizontal="left" wrapText="1"/>
    </xf>
    <xf numFmtId="43" fontId="5" fillId="0" borderId="0" xfId="44" applyFont="1" applyFill="1" applyAlignment="1">
      <alignment horizontal="center" vertical="center"/>
    </xf>
    <xf numFmtId="43" fontId="6" fillId="0" borderId="0" xfId="44" applyFont="1" applyFill="1" applyAlignment="1">
      <alignment horizontal="center" vertical="center"/>
    </xf>
    <xf numFmtId="43" fontId="6" fillId="0" borderId="0" xfId="28" applyFont="1" applyAlignment="1">
      <alignment horizontal="center" vertical="center"/>
    </xf>
    <xf numFmtId="43" fontId="5" fillId="0" borderId="0" xfId="28" applyFont="1" applyAlignment="1">
      <alignment horizontal="center" vertical="center"/>
    </xf>
    <xf numFmtId="43" fontId="9" fillId="0" borderId="0" xfId="28" applyFont="1" applyAlignment="1">
      <alignment horizontal="center" vertical="center"/>
    </xf>
    <xf numFmtId="43" fontId="35" fillId="0" borderId="0" xfId="28" applyFont="1" applyAlignment="1">
      <alignment horizontal="center" vertical="center"/>
    </xf>
    <xf numFmtId="43" fontId="9" fillId="0" borderId="0" xfId="0" applyNumberFormat="1" applyFont="1" applyFill="1" applyAlignment="1">
      <alignment horizontal="center"/>
    </xf>
    <xf numFmtId="0" fontId="9" fillId="0" borderId="0" xfId="0" applyFont="1" applyFill="1" applyAlignment="1">
      <alignment horizontal="center"/>
    </xf>
    <xf numFmtId="43" fontId="35" fillId="25" borderId="10" xfId="28" applyFont="1" applyFill="1" applyBorder="1" applyAlignment="1">
      <alignment horizontal="center" vertical="center"/>
    </xf>
  </cellXfs>
  <cellStyles count="51">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2" xfId="45"/>
    <cellStyle name="Comma 2 2" xfId="44"/>
    <cellStyle name="Explanatory Text" xfId="29" builtinId="53" customBuiltin="1"/>
    <cellStyle name="Good" xfId="30" builtinId="26" customBuiltin="1"/>
    <cellStyle name="Heading 1" xfId="31" builtinId="16" customBuiltin="1"/>
    <cellStyle name="Heading 2" xfId="32" builtinId="17" customBuiltin="1"/>
    <cellStyle name="Heading 3" xfId="33" builtinId="18" customBuiltin="1"/>
    <cellStyle name="Heading 4" xfId="34" builtinId="19" customBuiltin="1"/>
    <cellStyle name="Input" xfId="35" builtinId="20" customBuiltin="1"/>
    <cellStyle name="Linked Cell" xfId="36" builtinId="24" customBuiltin="1"/>
    <cellStyle name="Neutral" xfId="37" builtinId="28" customBuiltin="1"/>
    <cellStyle name="Normal" xfId="0" builtinId="0"/>
    <cellStyle name="Normal 2" xfId="43"/>
    <cellStyle name="Normal 2 2" xfId="46"/>
    <cellStyle name="Normal 2 2 2" xfId="47"/>
    <cellStyle name="Normal 2 2_GAFMIS-20%_march2010" xfId="48"/>
    <cellStyle name="Normal 2_GAFMIS-20%_march2010" xfId="49"/>
    <cellStyle name="Normal 3" xfId="5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externalLink" Target="externalLinks/externalLink6.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5.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4.xml"/><Relationship Id="rId5" Type="http://schemas.openxmlformats.org/officeDocument/2006/relationships/worksheet" Target="worksheets/sheet5.xml"/><Relationship Id="rId15" Type="http://schemas.openxmlformats.org/officeDocument/2006/relationships/externalLink" Target="externalLinks/externalLink8.xml"/><Relationship Id="rId10" Type="http://schemas.openxmlformats.org/officeDocument/2006/relationships/externalLink" Target="externalLinks/externalLink3.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externalLink" Target="externalLinks/externalLink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Documents%20and%20Settings\data%20admin\My%20Documents\Edited%20FS-05\GAFMIS-Dec05.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TRUST%20FUND\TF%202009\GAFMIS-December09.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Users\user\Desktop\LEALYN\General%20Fund%20Reports\GF-Proper%202008\GAFMIS%20FILES\GAFMIS-December%2008.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BackuP\Edited%20FS-05\GAFMIS-Dec05.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ais_nelrose\My%20Documents\Trust%20Fund%20Control\416\CDF.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Documents%20and%20Settings\ais_nelrose\My%20Documents\Trust%20Fund%20Project%20REport\status%20report%20template.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TRUST%20FUND\TF%202010\JUne,%202009.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TRUST%20FUND\TF%202010\November%2010.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SGE"/>
    </sheetNames>
    <sheetDataSet>
      <sheetData sheetId="0" refreshError="1"/>
      <sheetData sheetId="1" refreshError="1">
        <row r="16">
          <cell r="D16">
            <v>16396736.120000003</v>
          </cell>
          <cell r="E16">
            <v>102386596.5</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TB"/>
      <sheetName val="BS"/>
      <sheetName val="SIE"/>
      <sheetName val="SGE"/>
      <sheetName val="Cash flow"/>
      <sheetName val="Cashflow-COA"/>
      <sheetName val="RRR"/>
      <sheetName val="worksheet"/>
      <sheetName val="schedule"/>
    </sheetNames>
    <sheetDataSet>
      <sheetData sheetId="0">
        <row r="12">
          <cell r="G12">
            <v>0</v>
          </cell>
        </row>
        <row r="13">
          <cell r="G13">
            <v>0</v>
          </cell>
        </row>
        <row r="14">
          <cell r="G14">
            <v>0</v>
          </cell>
        </row>
        <row r="16">
          <cell r="G16">
            <v>11756.520000000251</v>
          </cell>
        </row>
        <row r="17">
          <cell r="G17">
            <v>0</v>
          </cell>
        </row>
        <row r="18">
          <cell r="G18">
            <v>102209022.40999995</v>
          </cell>
        </row>
        <row r="19">
          <cell r="G19">
            <v>4335118.0799999982</v>
          </cell>
        </row>
        <row r="20">
          <cell r="G20">
            <v>0</v>
          </cell>
        </row>
        <row r="21">
          <cell r="G21">
            <v>0</v>
          </cell>
        </row>
        <row r="22">
          <cell r="G22">
            <v>0</v>
          </cell>
        </row>
        <row r="23">
          <cell r="G23">
            <v>0</v>
          </cell>
        </row>
        <row r="24">
          <cell r="G24">
            <v>0</v>
          </cell>
        </row>
        <row r="25">
          <cell r="G25">
            <v>0</v>
          </cell>
        </row>
        <row r="26">
          <cell r="G26">
            <v>0</v>
          </cell>
        </row>
        <row r="27">
          <cell r="G27">
            <v>0</v>
          </cell>
        </row>
        <row r="29">
          <cell r="G29">
            <v>0</v>
          </cell>
        </row>
        <row r="30">
          <cell r="G30">
            <v>0</v>
          </cell>
        </row>
        <row r="31">
          <cell r="G31">
            <v>0</v>
          </cell>
        </row>
        <row r="32">
          <cell r="G32">
            <v>0</v>
          </cell>
        </row>
        <row r="33">
          <cell r="G33">
            <v>0</v>
          </cell>
        </row>
        <row r="34">
          <cell r="G34">
            <v>0</v>
          </cell>
        </row>
        <row r="35">
          <cell r="G35">
            <v>0</v>
          </cell>
        </row>
        <row r="36">
          <cell r="G36">
            <v>0</v>
          </cell>
        </row>
        <row r="37">
          <cell r="G37">
            <v>1183464.43</v>
          </cell>
        </row>
        <row r="38">
          <cell r="G38">
            <v>2102500</v>
          </cell>
        </row>
        <row r="39">
          <cell r="G39">
            <v>0</v>
          </cell>
        </row>
        <row r="40">
          <cell r="G40">
            <v>0</v>
          </cell>
        </row>
        <row r="41">
          <cell r="G41">
            <v>31847668.909999974</v>
          </cell>
        </row>
        <row r="42">
          <cell r="G42">
            <v>312433.88999999996</v>
          </cell>
        </row>
        <row r="43">
          <cell r="G43">
            <v>0</v>
          </cell>
        </row>
        <row r="44">
          <cell r="G44">
            <v>0</v>
          </cell>
        </row>
        <row r="45">
          <cell r="G45">
            <v>0</v>
          </cell>
        </row>
        <row r="46">
          <cell r="G46">
            <v>0</v>
          </cell>
        </row>
        <row r="47">
          <cell r="G47">
            <v>0</v>
          </cell>
        </row>
        <row r="48">
          <cell r="G48">
            <v>0</v>
          </cell>
        </row>
        <row r="49">
          <cell r="G49">
            <v>0</v>
          </cell>
        </row>
        <row r="50">
          <cell r="G50">
            <v>0</v>
          </cell>
        </row>
        <row r="51">
          <cell r="G51">
            <v>0</v>
          </cell>
        </row>
        <row r="52">
          <cell r="G52">
            <v>0</v>
          </cell>
        </row>
        <row r="53">
          <cell r="G53">
            <v>0</v>
          </cell>
        </row>
        <row r="54">
          <cell r="G54">
            <v>0</v>
          </cell>
        </row>
        <row r="55">
          <cell r="G55">
            <v>0</v>
          </cell>
        </row>
        <row r="56">
          <cell r="G56">
            <v>0</v>
          </cell>
        </row>
        <row r="57">
          <cell r="G57">
            <v>0</v>
          </cell>
        </row>
        <row r="58">
          <cell r="G58">
            <v>0</v>
          </cell>
        </row>
        <row r="59">
          <cell r="G59">
            <v>0</v>
          </cell>
        </row>
        <row r="60">
          <cell r="G60">
            <v>0</v>
          </cell>
        </row>
        <row r="61">
          <cell r="G61">
            <v>0</v>
          </cell>
        </row>
        <row r="62">
          <cell r="G62">
            <v>0</v>
          </cell>
        </row>
        <row r="63">
          <cell r="G63">
            <v>0</v>
          </cell>
        </row>
        <row r="64">
          <cell r="G64">
            <v>0</v>
          </cell>
        </row>
        <row r="65">
          <cell r="G65">
            <v>0</v>
          </cell>
        </row>
        <row r="66">
          <cell r="G66">
            <v>0</v>
          </cell>
        </row>
        <row r="67">
          <cell r="G67">
            <v>0</v>
          </cell>
        </row>
        <row r="68">
          <cell r="G68">
            <v>0</v>
          </cell>
        </row>
        <row r="69">
          <cell r="G69">
            <v>0</v>
          </cell>
        </row>
        <row r="70">
          <cell r="G70">
            <v>0</v>
          </cell>
        </row>
        <row r="71">
          <cell r="G71">
            <v>0</v>
          </cell>
        </row>
        <row r="72">
          <cell r="G72">
            <v>0</v>
          </cell>
        </row>
        <row r="73">
          <cell r="G73">
            <v>0</v>
          </cell>
        </row>
        <row r="74">
          <cell r="G74">
            <v>0</v>
          </cell>
        </row>
        <row r="75">
          <cell r="G75">
            <v>0</v>
          </cell>
        </row>
        <row r="76">
          <cell r="G76">
            <v>0</v>
          </cell>
        </row>
        <row r="77">
          <cell r="G77">
            <v>0</v>
          </cell>
        </row>
        <row r="78">
          <cell r="G78">
            <v>0</v>
          </cell>
        </row>
        <row r="79">
          <cell r="G79">
            <v>0</v>
          </cell>
        </row>
        <row r="80">
          <cell r="J80">
            <v>0</v>
          </cell>
        </row>
        <row r="81">
          <cell r="G81">
            <v>0</v>
          </cell>
        </row>
        <row r="82">
          <cell r="J82">
            <v>0</v>
          </cell>
        </row>
        <row r="83">
          <cell r="G83">
            <v>0</v>
          </cell>
        </row>
        <row r="84">
          <cell r="J84">
            <v>0</v>
          </cell>
        </row>
        <row r="85">
          <cell r="G85">
            <v>0</v>
          </cell>
        </row>
        <row r="86">
          <cell r="J86">
            <v>0</v>
          </cell>
        </row>
        <row r="87">
          <cell r="G87">
            <v>0</v>
          </cell>
        </row>
        <row r="88">
          <cell r="J88">
            <v>0</v>
          </cell>
        </row>
        <row r="89">
          <cell r="G89">
            <v>0</v>
          </cell>
        </row>
        <row r="90">
          <cell r="J90">
            <v>0</v>
          </cell>
        </row>
        <row r="91">
          <cell r="G91">
            <v>0</v>
          </cell>
        </row>
        <row r="92">
          <cell r="J92">
            <v>0</v>
          </cell>
        </row>
        <row r="93">
          <cell r="G93">
            <v>0</v>
          </cell>
        </row>
        <row r="94">
          <cell r="J94">
            <v>0</v>
          </cell>
        </row>
        <row r="95">
          <cell r="G95">
            <v>0</v>
          </cell>
        </row>
        <row r="96">
          <cell r="J96">
            <v>0</v>
          </cell>
        </row>
        <row r="97">
          <cell r="G97">
            <v>0</v>
          </cell>
        </row>
        <row r="98">
          <cell r="J98">
            <v>0</v>
          </cell>
        </row>
        <row r="99">
          <cell r="G99">
            <v>0</v>
          </cell>
        </row>
        <row r="100">
          <cell r="J100">
            <v>0</v>
          </cell>
        </row>
        <row r="101">
          <cell r="G101">
            <v>0</v>
          </cell>
        </row>
        <row r="102">
          <cell r="J102">
            <v>0</v>
          </cell>
        </row>
        <row r="103">
          <cell r="G103">
            <v>0</v>
          </cell>
        </row>
        <row r="104">
          <cell r="J104">
            <v>0</v>
          </cell>
        </row>
        <row r="105">
          <cell r="G105">
            <v>0</v>
          </cell>
        </row>
        <row r="106">
          <cell r="J106">
            <v>0</v>
          </cell>
        </row>
        <row r="107">
          <cell r="G107">
            <v>0</v>
          </cell>
        </row>
        <row r="108">
          <cell r="J108">
            <v>0</v>
          </cell>
        </row>
        <row r="109">
          <cell r="G109">
            <v>0</v>
          </cell>
        </row>
        <row r="110">
          <cell r="J110">
            <v>0</v>
          </cell>
        </row>
        <row r="111">
          <cell r="G111">
            <v>0</v>
          </cell>
        </row>
        <row r="112">
          <cell r="J112">
            <v>0</v>
          </cell>
        </row>
        <row r="113">
          <cell r="G113">
            <v>0</v>
          </cell>
        </row>
        <row r="114">
          <cell r="J114">
            <v>0</v>
          </cell>
        </row>
        <row r="115">
          <cell r="G115">
            <v>0</v>
          </cell>
        </row>
        <row r="116">
          <cell r="J116">
            <v>0</v>
          </cell>
        </row>
        <row r="117">
          <cell r="G117">
            <v>0</v>
          </cell>
        </row>
        <row r="118">
          <cell r="J118">
            <v>0</v>
          </cell>
        </row>
        <row r="119">
          <cell r="G119">
            <v>0</v>
          </cell>
        </row>
        <row r="120">
          <cell r="J120">
            <v>0</v>
          </cell>
        </row>
        <row r="121">
          <cell r="G121">
            <v>0</v>
          </cell>
        </row>
        <row r="122">
          <cell r="J122">
            <v>0</v>
          </cell>
        </row>
        <row r="123">
          <cell r="G123">
            <v>0</v>
          </cell>
        </row>
        <row r="124">
          <cell r="J124">
            <v>0</v>
          </cell>
        </row>
        <row r="125">
          <cell r="G125">
            <v>0</v>
          </cell>
        </row>
        <row r="126">
          <cell r="J126">
            <v>0</v>
          </cell>
        </row>
        <row r="127">
          <cell r="G127">
            <v>0</v>
          </cell>
        </row>
        <row r="128">
          <cell r="J128">
            <v>0</v>
          </cell>
        </row>
        <row r="129">
          <cell r="G129">
            <v>0</v>
          </cell>
        </row>
        <row r="130">
          <cell r="J130">
            <v>0</v>
          </cell>
        </row>
        <row r="131">
          <cell r="G131">
            <v>0</v>
          </cell>
        </row>
        <row r="132">
          <cell r="J132">
            <v>0</v>
          </cell>
        </row>
        <row r="133">
          <cell r="G133">
            <v>0</v>
          </cell>
        </row>
        <row r="134">
          <cell r="J134">
            <v>0</v>
          </cell>
        </row>
        <row r="135">
          <cell r="G135">
            <v>0</v>
          </cell>
        </row>
        <row r="136">
          <cell r="J136">
            <v>0</v>
          </cell>
        </row>
        <row r="137">
          <cell r="G137">
            <v>0</v>
          </cell>
        </row>
        <row r="139">
          <cell r="G139">
            <v>0</v>
          </cell>
        </row>
        <row r="141">
          <cell r="G141">
            <v>0</v>
          </cell>
        </row>
        <row r="142">
          <cell r="J142">
            <v>0</v>
          </cell>
        </row>
        <row r="143">
          <cell r="G143">
            <v>0</v>
          </cell>
        </row>
        <row r="144">
          <cell r="J144">
            <v>0</v>
          </cell>
        </row>
        <row r="145">
          <cell r="G145">
            <v>0</v>
          </cell>
        </row>
        <row r="146">
          <cell r="J146">
            <v>0</v>
          </cell>
        </row>
        <row r="147">
          <cell r="G147">
            <v>0</v>
          </cell>
        </row>
        <row r="150">
          <cell r="G150">
            <v>0</v>
          </cell>
        </row>
        <row r="154">
          <cell r="G154">
            <v>0</v>
          </cell>
        </row>
        <row r="157">
          <cell r="G157">
            <v>0</v>
          </cell>
        </row>
        <row r="158">
          <cell r="G158">
            <v>735722.3</v>
          </cell>
        </row>
        <row r="159">
          <cell r="G159">
            <v>0</v>
          </cell>
        </row>
        <row r="160">
          <cell r="G160">
            <v>0</v>
          </cell>
        </row>
        <row r="161">
          <cell r="G161">
            <v>0</v>
          </cell>
        </row>
        <row r="162">
          <cell r="G162">
            <v>0</v>
          </cell>
        </row>
        <row r="163">
          <cell r="G163">
            <v>17999655.780000001</v>
          </cell>
        </row>
        <row r="164">
          <cell r="G164">
            <v>0</v>
          </cell>
        </row>
        <row r="165">
          <cell r="G165">
            <v>0</v>
          </cell>
        </row>
        <row r="166">
          <cell r="G166">
            <v>0</v>
          </cell>
        </row>
        <row r="167">
          <cell r="G167">
            <v>0</v>
          </cell>
        </row>
        <row r="168">
          <cell r="G168">
            <v>0</v>
          </cell>
        </row>
        <row r="169">
          <cell r="G169">
            <v>0</v>
          </cell>
        </row>
        <row r="170">
          <cell r="G170">
            <v>0</v>
          </cell>
        </row>
        <row r="171">
          <cell r="G171">
            <v>0</v>
          </cell>
        </row>
        <row r="172">
          <cell r="G172">
            <v>0</v>
          </cell>
        </row>
        <row r="173">
          <cell r="J173">
            <v>0</v>
          </cell>
        </row>
        <row r="174">
          <cell r="J174">
            <v>0</v>
          </cell>
        </row>
        <row r="175">
          <cell r="J175">
            <v>1455.9799999999998</v>
          </cell>
        </row>
        <row r="176">
          <cell r="J176">
            <v>0</v>
          </cell>
        </row>
        <row r="177">
          <cell r="J177">
            <v>1450676.1</v>
          </cell>
        </row>
        <row r="178">
          <cell r="J178">
            <v>133025.49000000002</v>
          </cell>
        </row>
        <row r="179">
          <cell r="J179">
            <v>203555.63999999996</v>
          </cell>
        </row>
        <row r="180">
          <cell r="J180">
            <v>106059.26999999999</v>
          </cell>
        </row>
        <row r="181">
          <cell r="J181">
            <v>100518261.20999999</v>
          </cell>
        </row>
        <row r="182">
          <cell r="G182">
            <v>0</v>
          </cell>
        </row>
        <row r="183">
          <cell r="J183">
            <v>4223365.87</v>
          </cell>
        </row>
        <row r="184">
          <cell r="J184">
            <v>6660296.0500000063</v>
          </cell>
        </row>
        <row r="185">
          <cell r="J185">
            <v>3096119.9400000004</v>
          </cell>
        </row>
        <row r="186">
          <cell r="J186">
            <v>1410177.3399999999</v>
          </cell>
        </row>
        <row r="187">
          <cell r="J187">
            <v>0</v>
          </cell>
        </row>
        <row r="188">
          <cell r="J188">
            <v>0</v>
          </cell>
        </row>
        <row r="189">
          <cell r="J189">
            <v>42934349.43</v>
          </cell>
        </row>
        <row r="190">
          <cell r="J190">
            <v>0</v>
          </cell>
        </row>
        <row r="191">
          <cell r="J191">
            <v>0</v>
          </cell>
        </row>
        <row r="192">
          <cell r="J192">
            <v>0</v>
          </cell>
        </row>
        <row r="193">
          <cell r="J193">
            <v>0</v>
          </cell>
        </row>
        <row r="194">
          <cell r="J194">
            <v>0</v>
          </cell>
        </row>
        <row r="195">
          <cell r="J195">
            <v>0</v>
          </cell>
        </row>
        <row r="196">
          <cell r="J196">
            <v>0</v>
          </cell>
        </row>
        <row r="197">
          <cell r="J197">
            <v>0</v>
          </cell>
        </row>
        <row r="198">
          <cell r="J198">
            <v>0</v>
          </cell>
        </row>
      </sheetData>
      <sheetData sheetId="1">
        <row r="11">
          <cell r="F11">
            <v>106555897.00999995</v>
          </cell>
        </row>
        <row r="12">
          <cell r="F12">
            <v>11756.520000000251</v>
          </cell>
        </row>
        <row r="16">
          <cell r="F16">
            <v>11756.520000000251</v>
          </cell>
        </row>
        <row r="17">
          <cell r="F17">
            <v>106544140.48999995</v>
          </cell>
        </row>
        <row r="19">
          <cell r="F19">
            <v>102209022.40999995</v>
          </cell>
        </row>
        <row r="20">
          <cell r="F20">
            <v>4335118.0799999982</v>
          </cell>
        </row>
        <row r="27">
          <cell r="F27">
            <v>35446067.229999974</v>
          </cell>
        </row>
        <row r="28">
          <cell r="F28">
            <v>31847668.909999974</v>
          </cell>
        </row>
        <row r="32">
          <cell r="F32">
            <v>31847668.909999974</v>
          </cell>
        </row>
        <row r="39">
          <cell r="F39">
            <v>3285964.4299999997</v>
          </cell>
        </row>
        <row r="42">
          <cell r="F42">
            <v>1183464.43</v>
          </cell>
        </row>
        <row r="43">
          <cell r="F43">
            <v>2102500</v>
          </cell>
        </row>
        <row r="46">
          <cell r="F46">
            <v>312433.88999999996</v>
          </cell>
        </row>
        <row r="48">
          <cell r="F48">
            <v>312433.88999999996</v>
          </cell>
        </row>
        <row r="85">
          <cell r="F85">
            <v>142001964.23999992</v>
          </cell>
        </row>
        <row r="209">
          <cell r="F209">
            <v>18735378.080000002</v>
          </cell>
        </row>
        <row r="211">
          <cell r="F211">
            <v>18735378.080000002</v>
          </cell>
        </row>
        <row r="212">
          <cell r="F212">
            <v>735722.3</v>
          </cell>
        </row>
        <row r="217">
          <cell r="F217">
            <v>17999655.780000001</v>
          </cell>
        </row>
        <row r="223">
          <cell r="F223">
            <v>18735378.080000002</v>
          </cell>
        </row>
        <row r="231">
          <cell r="F231">
            <v>160737342.31999993</v>
          </cell>
        </row>
        <row r="235">
          <cell r="F235">
            <v>1455.9799999999998</v>
          </cell>
        </row>
        <row r="238">
          <cell r="F238">
            <v>1455.9799999999998</v>
          </cell>
        </row>
        <row r="240">
          <cell r="F240">
            <v>106634943.58</v>
          </cell>
        </row>
        <row r="241">
          <cell r="F241">
            <v>1450676.1</v>
          </cell>
        </row>
        <row r="242">
          <cell r="F242">
            <v>133025.49000000002</v>
          </cell>
        </row>
        <row r="243">
          <cell r="F243">
            <v>203555.63999999996</v>
          </cell>
        </row>
        <row r="244">
          <cell r="F244">
            <v>106059.26999999999</v>
          </cell>
        </row>
        <row r="245">
          <cell r="F245">
            <v>100518261.20999999</v>
          </cell>
        </row>
        <row r="247">
          <cell r="F247">
            <v>4223365.87</v>
          </cell>
        </row>
        <row r="248">
          <cell r="F248">
            <v>6660296.0500000063</v>
          </cell>
        </row>
        <row r="249">
          <cell r="F249">
            <v>6660296.0500000063</v>
          </cell>
        </row>
        <row r="250">
          <cell r="F250">
            <v>47440646.710000001</v>
          </cell>
        </row>
        <row r="251">
          <cell r="F251">
            <v>3096119.9400000004</v>
          </cell>
        </row>
        <row r="252">
          <cell r="F252">
            <v>1410177.3399999999</v>
          </cell>
        </row>
        <row r="255">
          <cell r="F255">
            <v>42934349.43</v>
          </cell>
        </row>
        <row r="256">
          <cell r="F256">
            <v>160737342.31999999</v>
          </cell>
        </row>
        <row r="266">
          <cell r="F266">
            <v>160737342.31999999</v>
          </cell>
        </row>
        <row r="275">
          <cell r="F275">
            <v>160737342.31999999</v>
          </cell>
        </row>
      </sheetData>
      <sheetData sheetId="2"/>
      <sheetData sheetId="3">
        <row r="30">
          <cell r="F30">
            <v>0</v>
          </cell>
        </row>
      </sheetData>
      <sheetData sheetId="4"/>
      <sheetData sheetId="5"/>
      <sheetData sheetId="6"/>
      <sheetData sheetId="7"/>
      <sheetData sheetId="8"/>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PRE"/>
    </sheetNames>
    <sheetDataSet>
      <sheetData sheetId="0">
        <row r="183">
          <cell r="G183">
            <v>0</v>
          </cell>
        </row>
        <row r="194">
          <cell r="J194">
            <v>747046467.85000014</v>
          </cell>
        </row>
        <row r="203">
          <cell r="J203">
            <v>14987551.300000001</v>
          </cell>
        </row>
      </sheetData>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tb"/>
    </sheetNames>
    <sheetDataSet>
      <sheetData sheetId="0" refreshError="1">
        <row r="198">
          <cell r="J198">
            <v>493534777.27000004</v>
          </cell>
        </row>
      </sheetData>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2009"/>
    </sheetNames>
    <sheetDataSet>
      <sheetData sheetId="0">
        <row r="100">
          <cell r="D100">
            <v>1825341.3599999999</v>
          </cell>
        </row>
      </sheetData>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update"/>
      <sheetName val="status report"/>
    </sheetNames>
    <sheetDataSet>
      <sheetData sheetId="0"/>
      <sheetData sheetId="1">
        <row r="33">
          <cell r="G33">
            <v>171567.42000000004</v>
          </cell>
        </row>
      </sheetData>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bs"/>
      <sheetName val="tb"/>
      <sheetName val="sie"/>
      <sheetName val="sge"/>
      <sheetName val="Dec-CF"/>
      <sheetName val="cashflow"/>
      <sheetName val="Schedule"/>
    </sheetNames>
    <sheetDataSet>
      <sheetData sheetId="0" refreshError="1"/>
      <sheetData sheetId="1">
        <row r="7">
          <cell r="O7">
            <v>497736</v>
          </cell>
        </row>
      </sheetData>
      <sheetData sheetId="2" refreshError="1"/>
      <sheetData sheetId="3" refreshError="1"/>
      <sheetData sheetId="4" refreshError="1"/>
      <sheetData sheetId="5" refreshError="1"/>
      <sheetData sheetId="6"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TB"/>
      <sheetName val="BS"/>
      <sheetName val="SIE"/>
      <sheetName val="SGE"/>
      <sheetName val="Cash flow"/>
      <sheetName val="Cashflow-COA"/>
      <sheetName val="RRR"/>
      <sheetName val="worksheet"/>
      <sheetName val="schedu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1440">
          <cell r="E1440">
            <v>6367191.849999995</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dimension ref="A1:O487"/>
  <sheetViews>
    <sheetView showGridLines="0" tabSelected="1" topLeftCell="A10" workbookViewId="0">
      <pane xSplit="6" ySplit="6" topLeftCell="G16" activePane="bottomRight" state="frozen"/>
      <selection activeCell="A10" sqref="A10"/>
      <selection pane="topRight" activeCell="G10" sqref="G10"/>
      <selection pane="bottomLeft" activeCell="A16" sqref="A16"/>
      <selection pane="bottomRight" activeCell="P183" sqref="P183"/>
    </sheetView>
  </sheetViews>
  <sheetFormatPr defaultRowHeight="15.75" customHeight="1"/>
  <cols>
    <col min="1" max="1" width="49.7109375" style="128" customWidth="1"/>
    <col min="2" max="2" width="9.7109375" style="136" customWidth="1"/>
    <col min="3" max="3" width="17.42578125" style="137" hidden="1" customWidth="1"/>
    <col min="4" max="4" width="18.28515625" style="137" hidden="1" customWidth="1"/>
    <col min="5" max="6" width="16.7109375" style="138" hidden="1" customWidth="1"/>
    <col min="7" max="7" width="18.42578125" style="138" customWidth="1"/>
    <col min="8" max="9" width="16.7109375" style="138" customWidth="1"/>
    <col min="10" max="10" width="18.7109375" style="138" customWidth="1"/>
    <col min="11" max="11" width="15" style="128" customWidth="1"/>
    <col min="12" max="12" width="19.140625" style="129" customWidth="1"/>
    <col min="13" max="13" width="23.28515625" style="129" customWidth="1"/>
    <col min="14" max="14" width="9.140625" style="129"/>
    <col min="15" max="16384" width="9.140625" style="128"/>
  </cols>
  <sheetData>
    <row r="1" spans="1:15" ht="15.75" customHeight="1">
      <c r="A1" s="126" t="s">
        <v>1016</v>
      </c>
      <c r="B1" s="127"/>
      <c r="C1" s="127"/>
      <c r="D1" s="127"/>
      <c r="E1" s="127"/>
      <c r="F1" s="127"/>
      <c r="G1" s="127"/>
      <c r="H1" s="127"/>
      <c r="I1" s="127"/>
      <c r="J1" s="127"/>
    </row>
    <row r="2" spans="1:15" ht="15.75" customHeight="1">
      <c r="A2" s="130" t="s">
        <v>1017</v>
      </c>
      <c r="B2" s="131"/>
      <c r="C2" s="131"/>
      <c r="D2" s="131"/>
      <c r="E2" s="131"/>
      <c r="F2" s="131"/>
      <c r="G2" s="131"/>
      <c r="H2" s="131"/>
      <c r="I2" s="131"/>
      <c r="J2" s="131"/>
    </row>
    <row r="3" spans="1:15" ht="15.75" customHeight="1">
      <c r="A3" s="126" t="s">
        <v>1018</v>
      </c>
      <c r="B3" s="127"/>
      <c r="C3" s="127"/>
      <c r="D3" s="127"/>
      <c r="E3" s="127"/>
      <c r="F3" s="127"/>
      <c r="G3" s="127"/>
      <c r="H3" s="127"/>
      <c r="I3" s="127"/>
      <c r="J3" s="127"/>
    </row>
    <row r="4" spans="1:15" ht="15.75" customHeight="1">
      <c r="A4" s="126"/>
      <c r="B4" s="127"/>
      <c r="C4" s="127"/>
      <c r="D4" s="127"/>
      <c r="E4" s="127"/>
      <c r="F4" s="127"/>
      <c r="G4" s="127"/>
      <c r="H4" s="127"/>
      <c r="I4" s="127"/>
      <c r="J4" s="127"/>
    </row>
    <row r="5" spans="1:15" ht="15.75" customHeight="1">
      <c r="A5" s="132" t="s">
        <v>1015</v>
      </c>
      <c r="B5" s="132"/>
      <c r="C5" s="132"/>
      <c r="D5" s="132"/>
      <c r="E5" s="132"/>
      <c r="F5" s="132"/>
      <c r="G5" s="132"/>
      <c r="H5" s="132"/>
      <c r="I5" s="132"/>
      <c r="J5" s="132"/>
    </row>
    <row r="6" spans="1:15" ht="15.75" customHeight="1">
      <c r="A6" s="132" t="s">
        <v>1020</v>
      </c>
      <c r="B6" s="132"/>
      <c r="C6" s="132"/>
      <c r="D6" s="132"/>
      <c r="E6" s="132"/>
      <c r="F6" s="132"/>
      <c r="G6" s="132"/>
      <c r="H6" s="132"/>
      <c r="I6" s="132"/>
      <c r="J6" s="132"/>
    </row>
    <row r="7" spans="1:15" ht="15.75" customHeight="1">
      <c r="A7" s="133" t="s">
        <v>2020</v>
      </c>
      <c r="B7" s="133"/>
      <c r="C7" s="133"/>
      <c r="D7" s="133"/>
      <c r="E7" s="133"/>
      <c r="F7" s="133"/>
      <c r="G7" s="133"/>
      <c r="H7" s="133"/>
      <c r="I7" s="133"/>
      <c r="J7" s="133"/>
    </row>
    <row r="8" spans="1:15" ht="15.75" customHeight="1">
      <c r="A8" s="134"/>
      <c r="B8" s="134"/>
      <c r="C8" s="134"/>
      <c r="D8" s="134"/>
      <c r="E8" s="134"/>
      <c r="F8" s="134"/>
      <c r="G8" s="134"/>
      <c r="H8" s="134"/>
      <c r="I8" s="134"/>
      <c r="J8" s="134"/>
    </row>
    <row r="9" spans="1:15" ht="12.75" customHeight="1">
      <c r="A9" s="135"/>
      <c r="L9" s="390" t="s">
        <v>2625</v>
      </c>
      <c r="M9" s="390"/>
    </row>
    <row r="10" spans="1:15" s="141" customFormat="1" ht="17.25" customHeight="1">
      <c r="A10" s="383" t="s">
        <v>1021</v>
      </c>
      <c r="B10" s="392" t="s">
        <v>1022</v>
      </c>
      <c r="C10" s="139" t="s">
        <v>1023</v>
      </c>
      <c r="D10" s="139"/>
      <c r="E10" s="140" t="s">
        <v>1024</v>
      </c>
      <c r="F10" s="140"/>
      <c r="G10" s="383" t="s">
        <v>1025</v>
      </c>
      <c r="H10" s="385" t="s">
        <v>1027</v>
      </c>
      <c r="I10" s="385" t="s">
        <v>1028</v>
      </c>
      <c r="J10" s="383" t="s">
        <v>1026</v>
      </c>
      <c r="L10" s="388" t="s">
        <v>2626</v>
      </c>
      <c r="M10" s="388" t="s">
        <v>1026</v>
      </c>
      <c r="N10" s="142"/>
    </row>
    <row r="11" spans="1:15" s="141" customFormat="1" ht="15.75" customHeight="1">
      <c r="A11" s="384"/>
      <c r="B11" s="393"/>
      <c r="C11" s="143" t="s">
        <v>1025</v>
      </c>
      <c r="D11" s="143" t="s">
        <v>1026</v>
      </c>
      <c r="E11" s="144" t="s">
        <v>1025</v>
      </c>
      <c r="F11" s="144" t="s">
        <v>1026</v>
      </c>
      <c r="G11" s="384"/>
      <c r="H11" s="386"/>
      <c r="I11" s="386"/>
      <c r="J11" s="384"/>
      <c r="L11" s="389"/>
      <c r="M11" s="389"/>
      <c r="N11" s="142"/>
    </row>
    <row r="12" spans="1:15" ht="15.75" hidden="1" customHeight="1">
      <c r="A12" s="145" t="s">
        <v>1029</v>
      </c>
      <c r="B12" s="146">
        <v>101</v>
      </c>
      <c r="C12" s="147" t="e">
        <f>E12+G12+#REF!</f>
        <v>#REF!</v>
      </c>
      <c r="D12" s="147"/>
      <c r="E12" s="148"/>
      <c r="F12" s="148"/>
      <c r="G12" s="148">
        <f t="shared" ref="G12:G75" si="0">H12-I12</f>
        <v>0</v>
      </c>
      <c r="H12" s="149"/>
      <c r="I12" s="149"/>
      <c r="J12" s="148"/>
    </row>
    <row r="13" spans="1:15" ht="15.75" hidden="1" customHeight="1">
      <c r="A13" s="145" t="s">
        <v>1030</v>
      </c>
      <c r="B13" s="146" t="s">
        <v>1031</v>
      </c>
      <c r="C13" s="147"/>
      <c r="D13" s="147"/>
      <c r="E13" s="148"/>
      <c r="F13" s="148"/>
      <c r="G13" s="148">
        <f t="shared" si="0"/>
        <v>0</v>
      </c>
      <c r="H13" s="149"/>
      <c r="I13" s="149"/>
      <c r="J13" s="148"/>
    </row>
    <row r="14" spans="1:15" ht="15.75" hidden="1" customHeight="1">
      <c r="A14" s="145" t="s">
        <v>1032</v>
      </c>
      <c r="B14" s="146" t="s">
        <v>1033</v>
      </c>
      <c r="C14" s="147" t="e">
        <f>E14+G16+#REF!</f>
        <v>#REF!</v>
      </c>
      <c r="D14" s="147"/>
      <c r="E14" s="148"/>
      <c r="F14" s="148"/>
      <c r="G14" s="148">
        <f t="shared" si="0"/>
        <v>0</v>
      </c>
      <c r="H14" s="150"/>
      <c r="I14" s="150"/>
      <c r="J14" s="148"/>
    </row>
    <row r="15" spans="1:15" ht="15.75" hidden="1" customHeight="1">
      <c r="A15" s="145" t="s">
        <v>1034</v>
      </c>
      <c r="B15" s="146" t="s">
        <v>1035</v>
      </c>
      <c r="C15" s="147" t="e">
        <f>E15+G15+#REF!</f>
        <v>#REF!</v>
      </c>
      <c r="D15" s="147"/>
      <c r="E15" s="148"/>
      <c r="F15" s="148"/>
      <c r="G15" s="148">
        <f t="shared" si="0"/>
        <v>0</v>
      </c>
      <c r="H15" s="149"/>
      <c r="I15" s="149"/>
      <c r="J15" s="148"/>
    </row>
    <row r="16" spans="1:15" ht="15.75" customHeight="1">
      <c r="A16" s="145" t="s">
        <v>1036</v>
      </c>
      <c r="B16" s="146" t="s">
        <v>1037</v>
      </c>
      <c r="C16" s="147"/>
      <c r="D16" s="147"/>
      <c r="E16" s="148"/>
      <c r="F16" s="148"/>
      <c r="G16" s="148">
        <f t="shared" si="0"/>
        <v>-0.80000000004656613</v>
      </c>
      <c r="H16" s="149">
        <f>527771.6</f>
        <v>527771.6</v>
      </c>
      <c r="I16" s="149">
        <f>527771.6+0.8</f>
        <v>527772.4</v>
      </c>
      <c r="J16" s="148"/>
      <c r="L16" s="375">
        <v>527771.6</v>
      </c>
      <c r="M16" s="375">
        <f>0.8+527771.6</f>
        <v>527772.4</v>
      </c>
      <c r="N16" s="151"/>
      <c r="O16" s="152"/>
    </row>
    <row r="17" spans="1:15" ht="15.75" hidden="1" customHeight="1">
      <c r="A17" s="145" t="s">
        <v>1921</v>
      </c>
      <c r="B17" s="146">
        <v>110</v>
      </c>
      <c r="C17" s="147" t="e">
        <f>E17+G17+#REF!</f>
        <v>#REF!</v>
      </c>
      <c r="D17" s="147"/>
      <c r="E17" s="148"/>
      <c r="F17" s="148"/>
      <c r="G17" s="148">
        <f t="shared" si="0"/>
        <v>0</v>
      </c>
      <c r="H17" s="149"/>
      <c r="I17" s="149"/>
      <c r="J17" s="148"/>
      <c r="L17" s="375"/>
      <c r="M17" s="375"/>
      <c r="N17" s="151"/>
      <c r="O17" s="152"/>
    </row>
    <row r="18" spans="1:15" ht="14.25">
      <c r="A18" s="153" t="s">
        <v>1922</v>
      </c>
      <c r="B18" s="146">
        <v>111</v>
      </c>
      <c r="C18" s="147" t="e">
        <f>E18+G18+#REF!</f>
        <v>#REF!</v>
      </c>
      <c r="D18" s="147"/>
      <c r="E18" s="148"/>
      <c r="F18" s="148"/>
      <c r="G18" s="148">
        <f t="shared" si="0"/>
        <v>14332535.340000002</v>
      </c>
      <c r="H18" s="149">
        <f>8793653.96+15352900</f>
        <v>24146553.960000001</v>
      </c>
      <c r="I18" s="149">
        <v>9814018.6199999992</v>
      </c>
      <c r="J18" s="148"/>
      <c r="L18" s="375">
        <f>8793653.96+15352900</f>
        <v>24146553.960000001</v>
      </c>
      <c r="M18" s="375">
        <v>9814018.6199999992</v>
      </c>
      <c r="N18" s="151"/>
      <c r="O18" s="152"/>
    </row>
    <row r="19" spans="1:15" ht="14.25">
      <c r="A19" s="153" t="s">
        <v>1923</v>
      </c>
      <c r="B19" s="146">
        <v>112</v>
      </c>
      <c r="C19" s="147" t="e">
        <f>E19+G19+#REF!</f>
        <v>#REF!</v>
      </c>
      <c r="D19" s="147"/>
      <c r="E19" s="148"/>
      <c r="F19" s="148"/>
      <c r="G19" s="148">
        <f t="shared" si="0"/>
        <v>0</v>
      </c>
      <c r="H19" s="149"/>
      <c r="I19" s="149"/>
      <c r="J19" s="154"/>
      <c r="L19" s="375"/>
      <c r="M19" s="375"/>
      <c r="N19" s="151"/>
      <c r="O19" s="152"/>
    </row>
    <row r="20" spans="1:15" ht="15.75" hidden="1" customHeight="1">
      <c r="A20" s="145" t="s">
        <v>1086</v>
      </c>
      <c r="B20" s="146">
        <v>113</v>
      </c>
      <c r="C20" s="147" t="e">
        <f>E20+G20+#REF!</f>
        <v>#REF!</v>
      </c>
      <c r="D20" s="147"/>
      <c r="E20" s="148"/>
      <c r="F20" s="148"/>
      <c r="G20" s="148">
        <f t="shared" si="0"/>
        <v>0</v>
      </c>
      <c r="H20" s="149"/>
      <c r="I20" s="149"/>
      <c r="J20" s="148"/>
      <c r="L20" s="375"/>
      <c r="M20" s="375"/>
      <c r="N20" s="151"/>
      <c r="O20" s="152"/>
    </row>
    <row r="21" spans="1:15" ht="15.75" hidden="1" customHeight="1">
      <c r="A21" s="145" t="s">
        <v>1921</v>
      </c>
      <c r="B21" s="146">
        <v>114</v>
      </c>
      <c r="C21" s="147" t="e">
        <f>E21+G21+#REF!</f>
        <v>#REF!</v>
      </c>
      <c r="D21" s="147"/>
      <c r="E21" s="148"/>
      <c r="F21" s="148"/>
      <c r="G21" s="148">
        <f t="shared" si="0"/>
        <v>0</v>
      </c>
      <c r="H21" s="149"/>
      <c r="I21" s="149"/>
      <c r="J21" s="148"/>
      <c r="L21" s="375"/>
      <c r="M21" s="375"/>
      <c r="N21" s="151"/>
      <c r="O21" s="152"/>
    </row>
    <row r="22" spans="1:15" ht="15.75" hidden="1" customHeight="1">
      <c r="A22" s="145" t="s">
        <v>1087</v>
      </c>
      <c r="B22" s="146">
        <v>115</v>
      </c>
      <c r="C22" s="147" t="e">
        <f>E22+G22+#REF!</f>
        <v>#REF!</v>
      </c>
      <c r="D22" s="147"/>
      <c r="E22" s="148"/>
      <c r="F22" s="148"/>
      <c r="G22" s="148">
        <f t="shared" si="0"/>
        <v>0</v>
      </c>
      <c r="H22" s="149"/>
      <c r="I22" s="149"/>
      <c r="J22" s="148"/>
      <c r="L22" s="375"/>
      <c r="M22" s="375"/>
      <c r="N22" s="151"/>
      <c r="O22" s="152"/>
    </row>
    <row r="23" spans="1:15" ht="15.75" hidden="1" customHeight="1">
      <c r="A23" s="145" t="s">
        <v>1088</v>
      </c>
      <c r="B23" s="146" t="s">
        <v>1089</v>
      </c>
      <c r="C23" s="147" t="e">
        <f>E23+G23+#REF!</f>
        <v>#REF!</v>
      </c>
      <c r="D23" s="147"/>
      <c r="E23" s="148"/>
      <c r="F23" s="148"/>
      <c r="G23" s="148">
        <f t="shared" si="0"/>
        <v>0</v>
      </c>
      <c r="H23" s="149"/>
      <c r="I23" s="149"/>
      <c r="J23" s="148"/>
      <c r="L23" s="375"/>
      <c r="M23" s="375"/>
      <c r="N23" s="151"/>
      <c r="O23" s="152"/>
    </row>
    <row r="24" spans="1:15" ht="15.75" hidden="1" customHeight="1">
      <c r="A24" s="145" t="s">
        <v>1090</v>
      </c>
      <c r="B24" s="146" t="s">
        <v>1091</v>
      </c>
      <c r="C24" s="147" t="e">
        <f>E24+G24+#REF!</f>
        <v>#REF!</v>
      </c>
      <c r="D24" s="147"/>
      <c r="E24" s="148"/>
      <c r="F24" s="148"/>
      <c r="G24" s="148">
        <f t="shared" si="0"/>
        <v>0</v>
      </c>
      <c r="H24" s="149"/>
      <c r="I24" s="149"/>
      <c r="J24" s="148"/>
      <c r="L24" s="375"/>
      <c r="M24" s="375"/>
      <c r="N24" s="151"/>
      <c r="O24" s="152"/>
    </row>
    <row r="25" spans="1:15" ht="15.75" hidden="1" customHeight="1">
      <c r="A25" s="145" t="s">
        <v>1092</v>
      </c>
      <c r="B25" s="146" t="s">
        <v>1093</v>
      </c>
      <c r="C25" s="147" t="e">
        <f>E25+G25+#REF!</f>
        <v>#REF!</v>
      </c>
      <c r="D25" s="147"/>
      <c r="E25" s="148"/>
      <c r="F25" s="148"/>
      <c r="G25" s="148">
        <f t="shared" si="0"/>
        <v>0</v>
      </c>
      <c r="H25" s="149"/>
      <c r="I25" s="149"/>
      <c r="J25" s="148"/>
      <c r="L25" s="375"/>
      <c r="M25" s="375"/>
      <c r="N25" s="151"/>
      <c r="O25" s="152"/>
    </row>
    <row r="26" spans="1:15" ht="15.75" hidden="1" customHeight="1">
      <c r="A26" s="145" t="s">
        <v>1094</v>
      </c>
      <c r="B26" s="146" t="s">
        <v>1095</v>
      </c>
      <c r="C26" s="147"/>
      <c r="D26" s="147" t="e">
        <f>F26+J26+#REF!</f>
        <v>#REF!</v>
      </c>
      <c r="E26" s="148"/>
      <c r="F26" s="148"/>
      <c r="G26" s="148">
        <f t="shared" si="0"/>
        <v>0</v>
      </c>
      <c r="H26" s="149"/>
      <c r="I26" s="149"/>
      <c r="J26" s="148"/>
      <c r="L26" s="375"/>
      <c r="M26" s="375"/>
      <c r="N26" s="151"/>
      <c r="O26" s="152"/>
    </row>
    <row r="27" spans="1:15" ht="15.75" hidden="1" customHeight="1">
      <c r="A27" s="145" t="s">
        <v>1096</v>
      </c>
      <c r="B27" s="146" t="s">
        <v>1097</v>
      </c>
      <c r="C27" s="147" t="e">
        <f>E27+G27+#REF!</f>
        <v>#REF!</v>
      </c>
      <c r="D27" s="147"/>
      <c r="E27" s="148"/>
      <c r="F27" s="148"/>
      <c r="G27" s="148">
        <f t="shared" si="0"/>
        <v>0</v>
      </c>
      <c r="H27" s="149"/>
      <c r="I27" s="149"/>
      <c r="J27" s="148"/>
      <c r="L27" s="375"/>
      <c r="M27" s="375"/>
      <c r="N27" s="151"/>
      <c r="O27" s="152"/>
    </row>
    <row r="28" spans="1:15" ht="15.75" hidden="1" customHeight="1">
      <c r="A28" s="145" t="s">
        <v>404</v>
      </c>
      <c r="B28" s="146" t="s">
        <v>405</v>
      </c>
      <c r="C28" s="147" t="e">
        <f>E28+G41+#REF!</f>
        <v>#REF!</v>
      </c>
      <c r="D28" s="147"/>
      <c r="E28" s="148"/>
      <c r="F28" s="148"/>
      <c r="G28" s="148">
        <f t="shared" si="0"/>
        <v>0</v>
      </c>
      <c r="H28" s="149"/>
      <c r="I28" s="150"/>
      <c r="J28" s="148"/>
      <c r="L28" s="375"/>
      <c r="M28" s="375"/>
      <c r="N28" s="151"/>
      <c r="O28" s="152"/>
    </row>
    <row r="29" spans="1:15" ht="15.75" hidden="1" customHeight="1">
      <c r="A29" s="145" t="s">
        <v>406</v>
      </c>
      <c r="B29" s="146" t="s">
        <v>407</v>
      </c>
      <c r="C29" s="147" t="e">
        <f>E29+G29+#REF!</f>
        <v>#REF!</v>
      </c>
      <c r="D29" s="147"/>
      <c r="E29" s="148"/>
      <c r="F29" s="148"/>
      <c r="G29" s="148">
        <f t="shared" si="0"/>
        <v>0</v>
      </c>
      <c r="H29" s="149"/>
      <c r="I29" s="149"/>
      <c r="J29" s="148"/>
      <c r="L29" s="375"/>
      <c r="M29" s="375"/>
      <c r="N29" s="151"/>
      <c r="O29" s="152"/>
    </row>
    <row r="30" spans="1:15" ht="15.75" hidden="1" customHeight="1">
      <c r="A30" s="145" t="s">
        <v>408</v>
      </c>
      <c r="B30" s="146" t="s">
        <v>409</v>
      </c>
      <c r="C30" s="147" t="e">
        <f>E30+G30+#REF!</f>
        <v>#REF!</v>
      </c>
      <c r="D30" s="147"/>
      <c r="E30" s="148"/>
      <c r="F30" s="148"/>
      <c r="G30" s="148">
        <f t="shared" si="0"/>
        <v>0</v>
      </c>
      <c r="H30" s="149"/>
      <c r="I30" s="149"/>
      <c r="J30" s="148"/>
      <c r="L30" s="375"/>
      <c r="M30" s="375"/>
      <c r="N30" s="151"/>
      <c r="O30" s="152"/>
    </row>
    <row r="31" spans="1:15" ht="15.75" hidden="1" customHeight="1">
      <c r="A31" s="145" t="s">
        <v>410</v>
      </c>
      <c r="B31" s="146" t="s">
        <v>411</v>
      </c>
      <c r="C31" s="147" t="e">
        <f>E31+G31+#REF!</f>
        <v>#REF!</v>
      </c>
      <c r="D31" s="147"/>
      <c r="E31" s="148"/>
      <c r="F31" s="148"/>
      <c r="G31" s="148">
        <f t="shared" si="0"/>
        <v>0</v>
      </c>
      <c r="H31" s="149"/>
      <c r="I31" s="149"/>
      <c r="J31" s="148"/>
      <c r="L31" s="375"/>
      <c r="M31" s="375"/>
      <c r="N31" s="151"/>
      <c r="O31" s="152"/>
    </row>
    <row r="32" spans="1:15" ht="15.75" hidden="1" customHeight="1">
      <c r="A32" s="145" t="s">
        <v>1891</v>
      </c>
      <c r="B32" s="146" t="s">
        <v>1892</v>
      </c>
      <c r="C32" s="147" t="e">
        <f>E32+G32+#REF!</f>
        <v>#REF!</v>
      </c>
      <c r="D32" s="147"/>
      <c r="E32" s="148"/>
      <c r="F32" s="148"/>
      <c r="G32" s="148">
        <f t="shared" si="0"/>
        <v>0</v>
      </c>
      <c r="H32" s="149"/>
      <c r="I32" s="149"/>
      <c r="J32" s="148"/>
      <c r="L32" s="375"/>
      <c r="M32" s="375"/>
      <c r="N32" s="151"/>
      <c r="O32" s="152"/>
    </row>
    <row r="33" spans="1:15" ht="15.75" hidden="1" customHeight="1">
      <c r="A33" s="145" t="s">
        <v>1893</v>
      </c>
      <c r="B33" s="146" t="s">
        <v>1894</v>
      </c>
      <c r="C33" s="147" t="e">
        <f>E33+G33+#REF!</f>
        <v>#REF!</v>
      </c>
      <c r="D33" s="147"/>
      <c r="E33" s="148"/>
      <c r="F33" s="148"/>
      <c r="G33" s="148">
        <f t="shared" si="0"/>
        <v>0</v>
      </c>
      <c r="H33" s="149"/>
      <c r="I33" s="149"/>
      <c r="J33" s="148"/>
      <c r="L33" s="375"/>
      <c r="M33" s="375"/>
      <c r="N33" s="151"/>
      <c r="O33" s="152"/>
    </row>
    <row r="34" spans="1:15" ht="15.75" hidden="1" customHeight="1">
      <c r="A34" s="145" t="s">
        <v>1103</v>
      </c>
      <c r="B34" s="146" t="s">
        <v>1104</v>
      </c>
      <c r="C34" s="147" t="e">
        <f>E34+G34+#REF!</f>
        <v>#REF!</v>
      </c>
      <c r="D34" s="147"/>
      <c r="E34" s="148"/>
      <c r="F34" s="148"/>
      <c r="G34" s="148">
        <f t="shared" si="0"/>
        <v>0</v>
      </c>
      <c r="H34" s="149"/>
      <c r="I34" s="149"/>
      <c r="J34" s="148"/>
      <c r="L34" s="375"/>
      <c r="M34" s="375"/>
      <c r="N34" s="151"/>
      <c r="O34" s="152"/>
    </row>
    <row r="35" spans="1:15" ht="15.75" hidden="1" customHeight="1">
      <c r="A35" s="145" t="s">
        <v>1105</v>
      </c>
      <c r="B35" s="146" t="s">
        <v>1106</v>
      </c>
      <c r="C35" s="147" t="e">
        <f>E35+G35+#REF!</f>
        <v>#REF!</v>
      </c>
      <c r="D35" s="147"/>
      <c r="E35" s="148"/>
      <c r="F35" s="148"/>
      <c r="G35" s="148">
        <f t="shared" si="0"/>
        <v>0</v>
      </c>
      <c r="H35" s="149"/>
      <c r="I35" s="149"/>
      <c r="J35" s="148"/>
      <c r="L35" s="375"/>
      <c r="M35" s="375"/>
      <c r="N35" s="151"/>
      <c r="O35" s="152"/>
    </row>
    <row r="36" spans="1:15" ht="15.75" hidden="1" customHeight="1">
      <c r="A36" s="145" t="s">
        <v>1107</v>
      </c>
      <c r="B36" s="146" t="s">
        <v>1108</v>
      </c>
      <c r="C36" s="147" t="e">
        <f>E36+G36+#REF!</f>
        <v>#REF!</v>
      </c>
      <c r="D36" s="147"/>
      <c r="E36" s="148"/>
      <c r="F36" s="148"/>
      <c r="G36" s="148">
        <f t="shared" si="0"/>
        <v>0</v>
      </c>
      <c r="H36" s="149"/>
      <c r="I36" s="149"/>
      <c r="J36" s="148"/>
      <c r="L36" s="375"/>
      <c r="M36" s="375"/>
      <c r="N36" s="151"/>
      <c r="O36" s="152"/>
    </row>
    <row r="37" spans="1:15" ht="15.75" customHeight="1">
      <c r="A37" s="145" t="s">
        <v>1109</v>
      </c>
      <c r="B37" s="155">
        <v>138</v>
      </c>
      <c r="C37" s="147" t="e">
        <f>E37+G37+#REF!</f>
        <v>#REF!</v>
      </c>
      <c r="D37" s="147"/>
      <c r="E37" s="148"/>
      <c r="F37" s="148"/>
      <c r="G37" s="148">
        <f t="shared" si="0"/>
        <v>0</v>
      </c>
      <c r="H37" s="149"/>
      <c r="I37" s="149"/>
      <c r="J37" s="148"/>
      <c r="L37" s="375"/>
      <c r="M37" s="375"/>
      <c r="N37" s="151"/>
      <c r="O37" s="152"/>
    </row>
    <row r="38" spans="1:15" ht="15.75" customHeight="1">
      <c r="A38" s="145" t="s">
        <v>1110</v>
      </c>
      <c r="B38" s="146" t="s">
        <v>1111</v>
      </c>
      <c r="C38" s="147" t="e">
        <f>E38+G38+#REF!</f>
        <v>#REF!</v>
      </c>
      <c r="D38" s="147"/>
      <c r="E38" s="148"/>
      <c r="F38" s="148"/>
      <c r="G38" s="148">
        <f t="shared" si="0"/>
        <v>-280000</v>
      </c>
      <c r="H38" s="149"/>
      <c r="I38" s="149">
        <f>200000+80000</f>
        <v>280000</v>
      </c>
      <c r="J38" s="148"/>
      <c r="L38" s="375"/>
      <c r="M38" s="403">
        <v>200000</v>
      </c>
      <c r="N38" s="151"/>
      <c r="O38" s="152"/>
    </row>
    <row r="39" spans="1:15" ht="15.75" hidden="1" customHeight="1">
      <c r="A39" s="145" t="s">
        <v>1112</v>
      </c>
      <c r="B39" s="155">
        <v>144</v>
      </c>
      <c r="C39" s="147" t="e">
        <f>E39+G39+#REF!</f>
        <v>#REF!</v>
      </c>
      <c r="D39" s="147"/>
      <c r="E39" s="148"/>
      <c r="F39" s="148"/>
      <c r="G39" s="148">
        <f t="shared" si="0"/>
        <v>0</v>
      </c>
      <c r="H39" s="149"/>
      <c r="I39" s="149"/>
      <c r="J39" s="148"/>
      <c r="L39" s="375"/>
      <c r="M39" s="375"/>
      <c r="N39" s="151"/>
      <c r="O39" s="152"/>
    </row>
    <row r="40" spans="1:15" ht="15.75" hidden="1" customHeight="1">
      <c r="A40" s="145" t="s">
        <v>1113</v>
      </c>
      <c r="B40" s="146" t="s">
        <v>1114</v>
      </c>
      <c r="C40" s="147" t="e">
        <f>E40+G40+#REF!</f>
        <v>#REF!</v>
      </c>
      <c r="D40" s="147"/>
      <c r="E40" s="148"/>
      <c r="F40" s="148"/>
      <c r="G40" s="148">
        <f t="shared" si="0"/>
        <v>0</v>
      </c>
      <c r="H40" s="149"/>
      <c r="I40" s="149"/>
      <c r="J40" s="148"/>
      <c r="L40" s="375"/>
      <c r="M40" s="375"/>
      <c r="N40" s="151"/>
      <c r="O40" s="152"/>
    </row>
    <row r="41" spans="1:15" ht="15.75" customHeight="1">
      <c r="A41" s="145" t="s">
        <v>1115</v>
      </c>
      <c r="B41" s="146" t="s">
        <v>1116</v>
      </c>
      <c r="C41" s="147"/>
      <c r="D41" s="147"/>
      <c r="E41" s="148"/>
      <c r="F41" s="148"/>
      <c r="G41" s="148">
        <f t="shared" si="0"/>
        <v>189984.60000000009</v>
      </c>
      <c r="H41" s="149">
        <f>758250.92</f>
        <v>758250.92</v>
      </c>
      <c r="I41" s="149">
        <f>1608.72+566657.6</f>
        <v>568266.31999999995</v>
      </c>
      <c r="J41" s="148"/>
      <c r="L41" s="378">
        <v>758250.92</v>
      </c>
      <c r="M41" s="403">
        <v>1608.72</v>
      </c>
      <c r="N41" s="151"/>
      <c r="O41" s="152"/>
    </row>
    <row r="42" spans="1:15" ht="15.75" customHeight="1">
      <c r="A42" s="145" t="s">
        <v>1117</v>
      </c>
      <c r="B42" s="146" t="s">
        <v>1764</v>
      </c>
      <c r="C42" s="147" t="e">
        <f>E42+G42+#REF!</f>
        <v>#REF!</v>
      </c>
      <c r="D42" s="147"/>
      <c r="E42" s="148"/>
      <c r="F42" s="148"/>
      <c r="G42" s="148">
        <f t="shared" si="0"/>
        <v>0</v>
      </c>
      <c r="H42" s="149"/>
      <c r="I42" s="149"/>
      <c r="J42" s="148"/>
      <c r="L42" s="375"/>
      <c r="M42" s="375"/>
      <c r="N42" s="151"/>
      <c r="O42" s="152"/>
    </row>
    <row r="43" spans="1:15" ht="15.75" hidden="1" customHeight="1">
      <c r="A43" s="145" t="s">
        <v>1765</v>
      </c>
      <c r="B43" s="146" t="s">
        <v>1766</v>
      </c>
      <c r="C43" s="147" t="e">
        <f>E43+G43+#REF!</f>
        <v>#REF!</v>
      </c>
      <c r="D43" s="147"/>
      <c r="E43" s="148"/>
      <c r="F43" s="148"/>
      <c r="G43" s="148">
        <f t="shared" si="0"/>
        <v>0</v>
      </c>
      <c r="H43" s="149"/>
      <c r="I43" s="149"/>
      <c r="J43" s="148"/>
      <c r="L43" s="375"/>
      <c r="M43" s="375"/>
      <c r="N43" s="151"/>
      <c r="O43" s="152"/>
    </row>
    <row r="44" spans="1:15" ht="15.75" hidden="1" customHeight="1">
      <c r="A44" s="145" t="s">
        <v>1767</v>
      </c>
      <c r="B44" s="146" t="s">
        <v>1768</v>
      </c>
      <c r="C44" s="147" t="e">
        <f>E44+G44+#REF!</f>
        <v>#REF!</v>
      </c>
      <c r="D44" s="147"/>
      <c r="E44" s="148"/>
      <c r="F44" s="148"/>
      <c r="G44" s="148">
        <f t="shared" si="0"/>
        <v>0</v>
      </c>
      <c r="H44" s="149"/>
      <c r="I44" s="149"/>
      <c r="J44" s="148"/>
      <c r="L44" s="375"/>
      <c r="M44" s="375"/>
      <c r="N44" s="151"/>
      <c r="O44" s="152"/>
    </row>
    <row r="45" spans="1:15" ht="15.75" hidden="1" customHeight="1">
      <c r="A45" s="145" t="s">
        <v>1769</v>
      </c>
      <c r="B45" s="146" t="s">
        <v>1770</v>
      </c>
      <c r="C45" s="147" t="e">
        <f>E45+G45+#REF!</f>
        <v>#REF!</v>
      </c>
      <c r="D45" s="147"/>
      <c r="E45" s="148"/>
      <c r="F45" s="148"/>
      <c r="G45" s="148">
        <f t="shared" si="0"/>
        <v>0</v>
      </c>
      <c r="H45" s="149"/>
      <c r="I45" s="149"/>
      <c r="J45" s="148"/>
      <c r="L45" s="375"/>
      <c r="M45" s="375"/>
      <c r="N45" s="151"/>
      <c r="O45" s="152"/>
    </row>
    <row r="46" spans="1:15" ht="15.75" hidden="1" customHeight="1">
      <c r="A46" s="145" t="s">
        <v>1771</v>
      </c>
      <c r="B46" s="146" t="s">
        <v>1772</v>
      </c>
      <c r="C46" s="147" t="e">
        <f>E46+G46+#REF!</f>
        <v>#REF!</v>
      </c>
      <c r="D46" s="147"/>
      <c r="E46" s="148"/>
      <c r="F46" s="148"/>
      <c r="G46" s="148">
        <f t="shared" si="0"/>
        <v>0</v>
      </c>
      <c r="H46" s="149"/>
      <c r="I46" s="149"/>
      <c r="J46" s="148"/>
      <c r="L46" s="375"/>
      <c r="M46" s="375"/>
      <c r="N46" s="151"/>
      <c r="O46" s="152"/>
    </row>
    <row r="47" spans="1:15" ht="15.75" hidden="1" customHeight="1">
      <c r="A47" s="145" t="s">
        <v>1773</v>
      </c>
      <c r="B47" s="146" t="s">
        <v>1774</v>
      </c>
      <c r="C47" s="147" t="e">
        <f>E47+G47+#REF!</f>
        <v>#REF!</v>
      </c>
      <c r="D47" s="147"/>
      <c r="E47" s="148"/>
      <c r="F47" s="148"/>
      <c r="G47" s="148">
        <f t="shared" si="0"/>
        <v>0</v>
      </c>
      <c r="H47" s="149"/>
      <c r="I47" s="149"/>
      <c r="J47" s="148"/>
      <c r="L47" s="375"/>
      <c r="M47" s="375"/>
      <c r="N47" s="151"/>
      <c r="O47" s="152"/>
    </row>
    <row r="48" spans="1:15" ht="15.75" hidden="1" customHeight="1">
      <c r="A48" s="145" t="s">
        <v>1775</v>
      </c>
      <c r="B48" s="146" t="s">
        <v>1776</v>
      </c>
      <c r="C48" s="147" t="e">
        <f>E48+G48+#REF!</f>
        <v>#REF!</v>
      </c>
      <c r="D48" s="147"/>
      <c r="E48" s="148"/>
      <c r="F48" s="148"/>
      <c r="G48" s="148">
        <f t="shared" si="0"/>
        <v>0</v>
      </c>
      <c r="H48" s="149"/>
      <c r="I48" s="149"/>
      <c r="J48" s="148"/>
      <c r="L48" s="375"/>
      <c r="M48" s="375"/>
      <c r="N48" s="151"/>
      <c r="O48" s="152"/>
    </row>
    <row r="49" spans="1:15" ht="15.75" hidden="1" customHeight="1">
      <c r="A49" s="145" t="s">
        <v>1777</v>
      </c>
      <c r="B49" s="146" t="s">
        <v>1778</v>
      </c>
      <c r="C49" s="147" t="e">
        <f>E49+G49+#REF!</f>
        <v>#REF!</v>
      </c>
      <c r="D49" s="147"/>
      <c r="E49" s="148"/>
      <c r="F49" s="148"/>
      <c r="G49" s="148">
        <f t="shared" si="0"/>
        <v>0</v>
      </c>
      <c r="H49" s="149"/>
      <c r="I49" s="149"/>
      <c r="J49" s="148"/>
      <c r="L49" s="375"/>
      <c r="M49" s="375"/>
      <c r="N49" s="151"/>
      <c r="O49" s="152"/>
    </row>
    <row r="50" spans="1:15" ht="15.75" hidden="1" customHeight="1">
      <c r="A50" s="145" t="s">
        <v>1779</v>
      </c>
      <c r="B50" s="146" t="s">
        <v>1780</v>
      </c>
      <c r="C50" s="147" t="e">
        <f>E50+G50+#REF!</f>
        <v>#REF!</v>
      </c>
      <c r="D50" s="147"/>
      <c r="E50" s="148"/>
      <c r="F50" s="148"/>
      <c r="G50" s="148">
        <f t="shared" si="0"/>
        <v>0</v>
      </c>
      <c r="H50" s="149"/>
      <c r="I50" s="149"/>
      <c r="J50" s="148"/>
      <c r="L50" s="375"/>
      <c r="M50" s="375"/>
      <c r="N50" s="151"/>
      <c r="O50" s="152"/>
    </row>
    <row r="51" spans="1:15" ht="15.75" customHeight="1">
      <c r="A51" s="145" t="s">
        <v>1781</v>
      </c>
      <c r="B51" s="146" t="s">
        <v>272</v>
      </c>
      <c r="C51" s="147" t="e">
        <f>E51+G51+#REF!</f>
        <v>#REF!</v>
      </c>
      <c r="D51" s="147"/>
      <c r="E51" s="148"/>
      <c r="F51" s="148"/>
      <c r="G51" s="148">
        <f t="shared" si="0"/>
        <v>518992</v>
      </c>
      <c r="H51" s="149">
        <v>518992</v>
      </c>
      <c r="I51" s="149"/>
      <c r="J51" s="148"/>
      <c r="L51" s="378">
        <v>491188.85</v>
      </c>
      <c r="M51" s="375"/>
      <c r="N51" s="151"/>
      <c r="O51" s="152"/>
    </row>
    <row r="52" spans="1:15" ht="14.25" hidden="1">
      <c r="A52" s="153" t="s">
        <v>273</v>
      </c>
      <c r="B52" s="146" t="s">
        <v>274</v>
      </c>
      <c r="C52" s="147" t="e">
        <f>E52+G52+#REF!</f>
        <v>#REF!</v>
      </c>
      <c r="D52" s="147"/>
      <c r="E52" s="148"/>
      <c r="F52" s="148"/>
      <c r="G52" s="148">
        <f t="shared" si="0"/>
        <v>0</v>
      </c>
      <c r="H52" s="149"/>
      <c r="I52" s="149"/>
      <c r="J52" s="148"/>
      <c r="L52" s="378"/>
      <c r="M52" s="375"/>
      <c r="N52" s="151"/>
      <c r="O52" s="152"/>
    </row>
    <row r="53" spans="1:15" ht="15.75" customHeight="1">
      <c r="A53" s="145" t="s">
        <v>275</v>
      </c>
      <c r="B53" s="146" t="s">
        <v>276</v>
      </c>
      <c r="C53" s="147" t="e">
        <f>E53+G53+#REF!</f>
        <v>#REF!</v>
      </c>
      <c r="D53" s="147"/>
      <c r="E53" s="148"/>
      <c r="F53" s="148"/>
      <c r="G53" s="148">
        <f t="shared" si="0"/>
        <v>1798400</v>
      </c>
      <c r="H53" s="149">
        <v>1798400</v>
      </c>
      <c r="I53" s="149"/>
      <c r="J53" s="148"/>
      <c r="L53" s="378">
        <v>1702057.13</v>
      </c>
      <c r="M53" s="375"/>
      <c r="N53" s="151"/>
      <c r="O53" s="152"/>
    </row>
    <row r="54" spans="1:15" ht="15.75" hidden="1" customHeight="1">
      <c r="A54" s="145" t="s">
        <v>277</v>
      </c>
      <c r="B54" s="146" t="s">
        <v>278</v>
      </c>
      <c r="C54" s="147" t="e">
        <f>E54+G54+#REF!</f>
        <v>#REF!</v>
      </c>
      <c r="D54" s="147"/>
      <c r="E54" s="148"/>
      <c r="F54" s="148"/>
      <c r="G54" s="148">
        <f t="shared" si="0"/>
        <v>0</v>
      </c>
      <c r="H54" s="149"/>
      <c r="I54" s="149"/>
      <c r="J54" s="148"/>
      <c r="L54" s="375"/>
      <c r="M54" s="375"/>
      <c r="N54" s="151"/>
      <c r="O54" s="152"/>
    </row>
    <row r="55" spans="1:15" ht="14.25" hidden="1">
      <c r="A55" s="153" t="s">
        <v>1003</v>
      </c>
      <c r="B55" s="146" t="s">
        <v>1004</v>
      </c>
      <c r="C55" s="147" t="e">
        <f>E55+G55+#REF!</f>
        <v>#REF!</v>
      </c>
      <c r="D55" s="147"/>
      <c r="E55" s="148"/>
      <c r="F55" s="148"/>
      <c r="G55" s="148">
        <f t="shared" si="0"/>
        <v>0</v>
      </c>
      <c r="H55" s="149"/>
      <c r="I55" s="149"/>
      <c r="J55" s="148"/>
      <c r="L55" s="375"/>
      <c r="M55" s="375"/>
      <c r="N55" s="151"/>
      <c r="O55" s="152"/>
    </row>
    <row r="56" spans="1:15" ht="15.75" hidden="1" customHeight="1">
      <c r="A56" s="145" t="s">
        <v>1005</v>
      </c>
      <c r="B56" s="146" t="s">
        <v>1006</v>
      </c>
      <c r="C56" s="147" t="e">
        <f>E56+G56+#REF!</f>
        <v>#REF!</v>
      </c>
      <c r="D56" s="147"/>
      <c r="E56" s="148"/>
      <c r="F56" s="148"/>
      <c r="G56" s="148">
        <f t="shared" si="0"/>
        <v>0</v>
      </c>
      <c r="H56" s="149"/>
      <c r="I56" s="149"/>
      <c r="J56" s="148"/>
      <c r="L56" s="375"/>
      <c r="M56" s="375"/>
      <c r="N56" s="151"/>
      <c r="O56" s="152"/>
    </row>
    <row r="57" spans="1:15" ht="15.75" hidden="1" customHeight="1">
      <c r="A57" s="145" t="s">
        <v>2443</v>
      </c>
      <c r="B57" s="146">
        <v>165</v>
      </c>
      <c r="C57" s="147" t="e">
        <f>E57+G57+#REF!</f>
        <v>#REF!</v>
      </c>
      <c r="D57" s="147"/>
      <c r="E57" s="148"/>
      <c r="F57" s="148"/>
      <c r="G57" s="148">
        <f t="shared" si="0"/>
        <v>0</v>
      </c>
      <c r="H57" s="149"/>
      <c r="I57" s="149"/>
      <c r="J57" s="148"/>
      <c r="L57" s="375"/>
      <c r="M57" s="375"/>
      <c r="N57" s="151"/>
      <c r="O57" s="152"/>
    </row>
    <row r="58" spans="1:15" ht="15.75" hidden="1" customHeight="1">
      <c r="A58" s="145" t="s">
        <v>2444</v>
      </c>
      <c r="B58" s="146">
        <v>166</v>
      </c>
      <c r="C58" s="147" t="e">
        <f>E58+G58+#REF!</f>
        <v>#REF!</v>
      </c>
      <c r="D58" s="147"/>
      <c r="E58" s="148"/>
      <c r="F58" s="148"/>
      <c r="G58" s="148">
        <f t="shared" si="0"/>
        <v>0</v>
      </c>
      <c r="H58" s="149"/>
      <c r="I58" s="149"/>
      <c r="J58" s="148"/>
      <c r="L58" s="375"/>
      <c r="M58" s="375"/>
      <c r="N58" s="151"/>
      <c r="O58" s="152"/>
    </row>
    <row r="59" spans="1:15" ht="15.75" hidden="1" customHeight="1">
      <c r="A59" s="145" t="s">
        <v>2445</v>
      </c>
      <c r="B59" s="146">
        <v>167</v>
      </c>
      <c r="C59" s="147" t="e">
        <f>E59+G59+#REF!</f>
        <v>#REF!</v>
      </c>
      <c r="D59" s="147"/>
      <c r="E59" s="148"/>
      <c r="F59" s="148"/>
      <c r="G59" s="148">
        <f t="shared" si="0"/>
        <v>0</v>
      </c>
      <c r="H59" s="149"/>
      <c r="I59" s="149"/>
      <c r="J59" s="148"/>
      <c r="L59" s="375"/>
      <c r="M59" s="375"/>
      <c r="N59" s="151"/>
      <c r="O59" s="152"/>
    </row>
    <row r="60" spans="1:15" ht="15.75" hidden="1" customHeight="1">
      <c r="A60" s="145" t="s">
        <v>2446</v>
      </c>
      <c r="B60" s="146" t="s">
        <v>2447</v>
      </c>
      <c r="C60" s="147" t="e">
        <f>E60+G60+#REF!</f>
        <v>#REF!</v>
      </c>
      <c r="D60" s="147"/>
      <c r="E60" s="148"/>
      <c r="F60" s="148"/>
      <c r="G60" s="148">
        <f t="shared" si="0"/>
        <v>0</v>
      </c>
      <c r="H60" s="149"/>
      <c r="I60" s="149"/>
      <c r="J60" s="148"/>
      <c r="L60" s="375"/>
      <c r="M60" s="375"/>
      <c r="N60" s="151"/>
      <c r="O60" s="152"/>
    </row>
    <row r="61" spans="1:15" ht="15.75" hidden="1" customHeight="1">
      <c r="A61" s="145" t="s">
        <v>951</v>
      </c>
      <c r="B61" s="146" t="s">
        <v>952</v>
      </c>
      <c r="C61" s="147" t="e">
        <f>E61+G61+#REF!</f>
        <v>#REF!</v>
      </c>
      <c r="D61" s="147"/>
      <c r="E61" s="148"/>
      <c r="F61" s="148"/>
      <c r="G61" s="148">
        <f t="shared" si="0"/>
        <v>0</v>
      </c>
      <c r="H61" s="149"/>
      <c r="I61" s="149"/>
      <c r="J61" s="148"/>
      <c r="L61" s="375"/>
      <c r="M61" s="375"/>
      <c r="N61" s="151"/>
      <c r="O61" s="152"/>
    </row>
    <row r="62" spans="1:15" ht="15.75" hidden="1" customHeight="1">
      <c r="A62" s="145" t="s">
        <v>953</v>
      </c>
      <c r="B62" s="146" t="s">
        <v>954</v>
      </c>
      <c r="C62" s="147" t="e">
        <f>E62+G62+#REF!</f>
        <v>#REF!</v>
      </c>
      <c r="D62" s="147"/>
      <c r="E62" s="148"/>
      <c r="F62" s="148"/>
      <c r="G62" s="148">
        <f t="shared" si="0"/>
        <v>0</v>
      </c>
      <c r="H62" s="149"/>
      <c r="I62" s="149"/>
      <c r="J62" s="148"/>
      <c r="L62" s="375"/>
      <c r="M62" s="375"/>
      <c r="N62" s="151"/>
      <c r="O62" s="152"/>
    </row>
    <row r="63" spans="1:15" ht="15.75" hidden="1" customHeight="1">
      <c r="A63" s="145" t="s">
        <v>955</v>
      </c>
      <c r="B63" s="146" t="s">
        <v>956</v>
      </c>
      <c r="C63" s="147" t="e">
        <f>E63+G63+#REF!</f>
        <v>#REF!</v>
      </c>
      <c r="D63" s="147"/>
      <c r="E63" s="148"/>
      <c r="F63" s="148"/>
      <c r="G63" s="148">
        <f t="shared" si="0"/>
        <v>0</v>
      </c>
      <c r="H63" s="149"/>
      <c r="I63" s="149"/>
      <c r="J63" s="148"/>
      <c r="L63" s="375"/>
      <c r="M63" s="375"/>
      <c r="N63" s="151"/>
      <c r="O63" s="152"/>
    </row>
    <row r="64" spans="1:15" ht="15.75" hidden="1" customHeight="1">
      <c r="A64" s="145" t="s">
        <v>957</v>
      </c>
      <c r="B64" s="146" t="s">
        <v>958</v>
      </c>
      <c r="C64" s="147" t="e">
        <f>E64+G64+#REF!</f>
        <v>#REF!</v>
      </c>
      <c r="D64" s="147"/>
      <c r="E64" s="148"/>
      <c r="F64" s="148"/>
      <c r="G64" s="148">
        <f t="shared" si="0"/>
        <v>0</v>
      </c>
      <c r="H64" s="149"/>
      <c r="I64" s="149"/>
      <c r="J64" s="148"/>
      <c r="L64" s="375"/>
      <c r="M64" s="375"/>
      <c r="N64" s="151"/>
      <c r="O64" s="152"/>
    </row>
    <row r="65" spans="1:15" ht="15.75" hidden="1" customHeight="1">
      <c r="A65" s="145" t="s">
        <v>959</v>
      </c>
      <c r="B65" s="155">
        <v>178</v>
      </c>
      <c r="C65" s="147" t="e">
        <f>E65+G65+#REF!</f>
        <v>#REF!</v>
      </c>
      <c r="D65" s="147"/>
      <c r="E65" s="148"/>
      <c r="F65" s="148"/>
      <c r="G65" s="148">
        <f t="shared" si="0"/>
        <v>0</v>
      </c>
      <c r="H65" s="149"/>
      <c r="I65" s="149"/>
      <c r="J65" s="148"/>
      <c r="L65" s="375"/>
      <c r="M65" s="375"/>
      <c r="N65" s="151"/>
      <c r="O65" s="152"/>
    </row>
    <row r="66" spans="1:15" ht="15.75" hidden="1" customHeight="1">
      <c r="A66" s="145" t="s">
        <v>960</v>
      </c>
      <c r="B66" s="146">
        <v>179</v>
      </c>
      <c r="C66" s="147" t="e">
        <f>E66+G66+#REF!</f>
        <v>#REF!</v>
      </c>
      <c r="D66" s="147"/>
      <c r="E66" s="148"/>
      <c r="F66" s="148"/>
      <c r="G66" s="148">
        <f t="shared" si="0"/>
        <v>0</v>
      </c>
      <c r="H66" s="149"/>
      <c r="I66" s="149"/>
      <c r="J66" s="148"/>
      <c r="L66" s="375"/>
      <c r="M66" s="375"/>
      <c r="N66" s="151"/>
      <c r="O66" s="152"/>
    </row>
    <row r="67" spans="1:15" ht="15.75" hidden="1" customHeight="1">
      <c r="A67" s="145" t="s">
        <v>961</v>
      </c>
      <c r="B67" s="155">
        <v>180</v>
      </c>
      <c r="C67" s="147" t="e">
        <f>E67+G67+#REF!</f>
        <v>#REF!</v>
      </c>
      <c r="D67" s="147"/>
      <c r="E67" s="148"/>
      <c r="F67" s="148"/>
      <c r="G67" s="148">
        <f t="shared" si="0"/>
        <v>0</v>
      </c>
      <c r="H67" s="149"/>
      <c r="I67" s="149"/>
      <c r="J67" s="148"/>
      <c r="L67" s="375"/>
      <c r="M67" s="375"/>
      <c r="N67" s="151"/>
      <c r="O67" s="152"/>
    </row>
    <row r="68" spans="1:15" ht="15.75" hidden="1" customHeight="1">
      <c r="A68" s="145" t="s">
        <v>962</v>
      </c>
      <c r="B68" s="155">
        <v>181</v>
      </c>
      <c r="C68" s="147" t="e">
        <f>E68+G68+#REF!</f>
        <v>#REF!</v>
      </c>
      <c r="D68" s="147"/>
      <c r="E68" s="148"/>
      <c r="F68" s="148"/>
      <c r="G68" s="148">
        <f t="shared" si="0"/>
        <v>0</v>
      </c>
      <c r="H68" s="149"/>
      <c r="I68" s="149"/>
      <c r="J68" s="148"/>
      <c r="L68" s="375"/>
      <c r="M68" s="375"/>
      <c r="N68" s="151"/>
      <c r="O68" s="152"/>
    </row>
    <row r="69" spans="1:15" ht="15.75" hidden="1" customHeight="1">
      <c r="A69" s="145" t="s">
        <v>963</v>
      </c>
      <c r="B69" s="155">
        <v>182</v>
      </c>
      <c r="C69" s="147" t="e">
        <f>E69+G69+#REF!</f>
        <v>#REF!</v>
      </c>
      <c r="D69" s="147"/>
      <c r="E69" s="148"/>
      <c r="F69" s="148"/>
      <c r="G69" s="148">
        <f t="shared" si="0"/>
        <v>0</v>
      </c>
      <c r="H69" s="149"/>
      <c r="I69" s="149"/>
      <c r="J69" s="148"/>
      <c r="L69" s="375"/>
      <c r="M69" s="375"/>
      <c r="N69" s="151"/>
      <c r="O69" s="152"/>
    </row>
    <row r="70" spans="1:15" ht="15.75" hidden="1" customHeight="1">
      <c r="A70" s="145" t="s">
        <v>964</v>
      </c>
      <c r="B70" s="155">
        <v>185</v>
      </c>
      <c r="C70" s="147" t="e">
        <f>E70+G70+#REF!</f>
        <v>#REF!</v>
      </c>
      <c r="D70" s="147"/>
      <c r="E70" s="148"/>
      <c r="F70" s="148"/>
      <c r="G70" s="148">
        <f t="shared" si="0"/>
        <v>0</v>
      </c>
      <c r="H70" s="149"/>
      <c r="I70" s="149"/>
      <c r="J70" s="148"/>
      <c r="L70" s="375"/>
      <c r="M70" s="375"/>
      <c r="N70" s="151"/>
      <c r="O70" s="152"/>
    </row>
    <row r="71" spans="1:15" ht="15.75" hidden="1" customHeight="1">
      <c r="A71" s="145" t="s">
        <v>965</v>
      </c>
      <c r="B71" s="146" t="s">
        <v>966</v>
      </c>
      <c r="C71" s="147" t="e">
        <f>E71+G71+#REF!</f>
        <v>#REF!</v>
      </c>
      <c r="D71" s="147"/>
      <c r="E71" s="148"/>
      <c r="F71" s="148"/>
      <c r="G71" s="148">
        <f t="shared" si="0"/>
        <v>0</v>
      </c>
      <c r="H71" s="149"/>
      <c r="I71" s="149"/>
      <c r="J71" s="148"/>
      <c r="L71" s="375"/>
      <c r="M71" s="375"/>
      <c r="N71" s="151"/>
      <c r="O71" s="152"/>
    </row>
    <row r="72" spans="1:15" ht="15.75" hidden="1" customHeight="1">
      <c r="A72" s="145" t="s">
        <v>967</v>
      </c>
      <c r="B72" s="146" t="s">
        <v>968</v>
      </c>
      <c r="C72" s="147" t="e">
        <f>E72+G72+#REF!</f>
        <v>#REF!</v>
      </c>
      <c r="D72" s="147"/>
      <c r="E72" s="148"/>
      <c r="F72" s="148"/>
      <c r="G72" s="148">
        <f t="shared" si="0"/>
        <v>0</v>
      </c>
      <c r="H72" s="149"/>
      <c r="I72" s="149"/>
      <c r="J72" s="148"/>
      <c r="L72" s="375"/>
      <c r="M72" s="375"/>
      <c r="N72" s="151"/>
      <c r="O72" s="152"/>
    </row>
    <row r="73" spans="1:15" ht="15.75" hidden="1" customHeight="1">
      <c r="A73" s="145" t="s">
        <v>969</v>
      </c>
      <c r="B73" s="146" t="s">
        <v>970</v>
      </c>
      <c r="C73" s="147" t="e">
        <f>E73+G73+#REF!</f>
        <v>#REF!</v>
      </c>
      <c r="D73" s="147"/>
      <c r="E73" s="148"/>
      <c r="F73" s="148"/>
      <c r="G73" s="148">
        <f t="shared" si="0"/>
        <v>0</v>
      </c>
      <c r="H73" s="149"/>
      <c r="I73" s="149"/>
      <c r="J73" s="148"/>
      <c r="L73" s="375"/>
      <c r="M73" s="375"/>
      <c r="N73" s="151"/>
      <c r="O73" s="152"/>
    </row>
    <row r="74" spans="1:15" ht="15.75" hidden="1" customHeight="1">
      <c r="A74" s="145" t="s">
        <v>971</v>
      </c>
      <c r="B74" s="146" t="s">
        <v>972</v>
      </c>
      <c r="C74" s="147" t="e">
        <f>E74+G74+#REF!</f>
        <v>#REF!</v>
      </c>
      <c r="D74" s="147"/>
      <c r="E74" s="148"/>
      <c r="F74" s="148"/>
      <c r="G74" s="148">
        <f t="shared" si="0"/>
        <v>0</v>
      </c>
      <c r="H74" s="149"/>
      <c r="I74" s="149"/>
      <c r="J74" s="148"/>
      <c r="L74" s="375"/>
      <c r="M74" s="375"/>
      <c r="N74" s="151"/>
      <c r="O74" s="152"/>
    </row>
    <row r="75" spans="1:15" ht="15.75" hidden="1" customHeight="1">
      <c r="A75" s="145" t="s">
        <v>973</v>
      </c>
      <c r="B75" s="146" t="s">
        <v>974</v>
      </c>
      <c r="C75" s="147" t="e">
        <f>E75+G75+#REF!</f>
        <v>#REF!</v>
      </c>
      <c r="D75" s="147"/>
      <c r="E75" s="148"/>
      <c r="F75" s="148"/>
      <c r="G75" s="148">
        <f t="shared" si="0"/>
        <v>0</v>
      </c>
      <c r="H75" s="149"/>
      <c r="I75" s="149"/>
      <c r="J75" s="148"/>
      <c r="L75" s="375"/>
      <c r="M75" s="375"/>
      <c r="N75" s="151"/>
      <c r="O75" s="152"/>
    </row>
    <row r="76" spans="1:15" ht="15.75" hidden="1" customHeight="1">
      <c r="A76" s="145" t="s">
        <v>975</v>
      </c>
      <c r="B76" s="146" t="s">
        <v>976</v>
      </c>
      <c r="C76" s="147" t="e">
        <f>E76+G76+#REF!</f>
        <v>#REF!</v>
      </c>
      <c r="D76" s="147"/>
      <c r="E76" s="148"/>
      <c r="F76" s="148"/>
      <c r="G76" s="148">
        <f>H76-I76</f>
        <v>0</v>
      </c>
      <c r="H76" s="149"/>
      <c r="I76" s="149"/>
      <c r="J76" s="148"/>
      <c r="L76" s="375"/>
      <c r="M76" s="375"/>
      <c r="N76" s="151"/>
      <c r="O76" s="152"/>
    </row>
    <row r="77" spans="1:15" ht="15.75" hidden="1" customHeight="1">
      <c r="A77" s="145" t="s">
        <v>977</v>
      </c>
      <c r="B77" s="146" t="s">
        <v>978</v>
      </c>
      <c r="C77" s="147" t="e">
        <f>E77+G77+#REF!</f>
        <v>#REF!</v>
      </c>
      <c r="D77" s="147"/>
      <c r="E77" s="148"/>
      <c r="F77" s="148"/>
      <c r="G77" s="148">
        <f>H77-I77</f>
        <v>0</v>
      </c>
      <c r="H77" s="149"/>
      <c r="I77" s="149"/>
      <c r="J77" s="148"/>
      <c r="L77" s="375"/>
      <c r="M77" s="375"/>
      <c r="N77" s="151"/>
      <c r="O77" s="152"/>
    </row>
    <row r="78" spans="1:15" ht="15.75" hidden="1" customHeight="1">
      <c r="A78" s="145" t="s">
        <v>979</v>
      </c>
      <c r="B78" s="146">
        <v>201</v>
      </c>
      <c r="C78" s="147" t="e">
        <f>E78+G78+#REF!</f>
        <v>#REF!</v>
      </c>
      <c r="D78" s="147"/>
      <c r="E78" s="148"/>
      <c r="F78" s="148"/>
      <c r="G78" s="148">
        <f>H78-I78</f>
        <v>0</v>
      </c>
      <c r="H78" s="149"/>
      <c r="I78" s="149"/>
      <c r="J78" s="148"/>
      <c r="L78" s="375"/>
      <c r="M78" s="375"/>
      <c r="N78" s="151"/>
      <c r="O78" s="152"/>
    </row>
    <row r="79" spans="1:15" ht="15.75" hidden="1" customHeight="1">
      <c r="A79" s="145" t="s">
        <v>980</v>
      </c>
      <c r="B79" s="146">
        <v>202</v>
      </c>
      <c r="C79" s="147" t="e">
        <f>E79+G79+#REF!</f>
        <v>#REF!</v>
      </c>
      <c r="D79" s="147"/>
      <c r="E79" s="148"/>
      <c r="F79" s="148"/>
      <c r="G79" s="148">
        <f>H79-I79</f>
        <v>0</v>
      </c>
      <c r="H79" s="149"/>
      <c r="I79" s="149"/>
      <c r="J79" s="148"/>
      <c r="L79" s="375"/>
      <c r="M79" s="375"/>
      <c r="N79" s="151"/>
      <c r="O79" s="152"/>
    </row>
    <row r="80" spans="1:15" ht="14.25" hidden="1">
      <c r="A80" s="153" t="s">
        <v>981</v>
      </c>
      <c r="B80" s="146">
        <v>302</v>
      </c>
      <c r="C80" s="147"/>
      <c r="D80" s="147" t="e">
        <f>F80+J80+#REF!</f>
        <v>#REF!</v>
      </c>
      <c r="E80" s="148"/>
      <c r="F80" s="148"/>
      <c r="G80" s="148"/>
      <c r="H80" s="149"/>
      <c r="I80" s="149"/>
      <c r="J80" s="148">
        <f>I80-H80</f>
        <v>0</v>
      </c>
      <c r="L80" s="375"/>
      <c r="M80" s="375"/>
      <c r="N80" s="151"/>
      <c r="O80" s="152"/>
    </row>
    <row r="81" spans="1:15" ht="25.5" hidden="1" customHeight="1">
      <c r="A81" s="145" t="s">
        <v>982</v>
      </c>
      <c r="B81" s="146">
        <v>203</v>
      </c>
      <c r="C81" s="147" t="e">
        <f>E81+G81+#REF!</f>
        <v>#REF!</v>
      </c>
      <c r="D81" s="147"/>
      <c r="E81" s="148"/>
      <c r="F81" s="148"/>
      <c r="G81" s="148">
        <f>H81-I81</f>
        <v>0</v>
      </c>
      <c r="H81" s="149"/>
      <c r="I81" s="149"/>
      <c r="J81" s="148">
        <f>I81-H81</f>
        <v>0</v>
      </c>
      <c r="L81" s="375"/>
      <c r="M81" s="375"/>
      <c r="N81" s="151"/>
      <c r="O81" s="152"/>
    </row>
    <row r="82" spans="1:15" ht="25.5" hidden="1" customHeight="1">
      <c r="A82" s="145" t="s">
        <v>734</v>
      </c>
      <c r="B82" s="146">
        <v>303</v>
      </c>
      <c r="C82" s="147"/>
      <c r="D82" s="147" t="e">
        <f>F82+J82+#REF!</f>
        <v>#REF!</v>
      </c>
      <c r="E82" s="148"/>
      <c r="F82" s="148"/>
      <c r="G82" s="148">
        <f>H82-I82</f>
        <v>0</v>
      </c>
      <c r="H82" s="149"/>
      <c r="I82" s="149"/>
      <c r="J82" s="148">
        <f>I82-H82</f>
        <v>0</v>
      </c>
      <c r="L82" s="375"/>
      <c r="M82" s="375"/>
      <c r="N82" s="151"/>
      <c r="O82" s="152"/>
    </row>
    <row r="83" spans="1:15" ht="25.5" hidden="1" customHeight="1">
      <c r="A83" s="145" t="s">
        <v>735</v>
      </c>
      <c r="B83" s="146">
        <v>204</v>
      </c>
      <c r="C83" s="147" t="e">
        <f>E83+G83+#REF!</f>
        <v>#REF!</v>
      </c>
      <c r="D83" s="147"/>
      <c r="E83" s="148"/>
      <c r="F83" s="148"/>
      <c r="G83" s="148">
        <f>H83-I83</f>
        <v>0</v>
      </c>
      <c r="H83" s="149"/>
      <c r="I83" s="149"/>
      <c r="J83" s="148">
        <f>I83-H83</f>
        <v>0</v>
      </c>
      <c r="L83" s="375"/>
      <c r="M83" s="375"/>
      <c r="N83" s="151"/>
      <c r="O83" s="152"/>
    </row>
    <row r="84" spans="1:15" ht="25.5" hidden="1" customHeight="1">
      <c r="A84" s="145" t="s">
        <v>736</v>
      </c>
      <c r="B84" s="146">
        <v>304</v>
      </c>
      <c r="C84" s="147"/>
      <c r="D84" s="147" t="e">
        <f>F84+J84+#REF!</f>
        <v>#REF!</v>
      </c>
      <c r="E84" s="148"/>
      <c r="F84" s="148"/>
      <c r="G84" s="148">
        <f>H84-I84</f>
        <v>0</v>
      </c>
      <c r="H84" s="149"/>
      <c r="I84" s="149"/>
      <c r="J84" s="148">
        <f>I84-H84</f>
        <v>0</v>
      </c>
      <c r="L84" s="375"/>
      <c r="M84" s="375"/>
      <c r="N84" s="151"/>
      <c r="O84" s="152"/>
    </row>
    <row r="85" spans="1:15" ht="14.25" hidden="1">
      <c r="A85" s="145" t="s">
        <v>737</v>
      </c>
      <c r="B85" s="146">
        <v>205</v>
      </c>
      <c r="C85" s="147" t="e">
        <f>E85+G85+#REF!</f>
        <v>#REF!</v>
      </c>
      <c r="D85" s="147"/>
      <c r="E85" s="148"/>
      <c r="F85" s="148"/>
      <c r="G85" s="148">
        <f>H85-I85</f>
        <v>0</v>
      </c>
      <c r="H85" s="149"/>
      <c r="I85" s="149"/>
      <c r="J85" s="148"/>
      <c r="L85" s="375"/>
      <c r="M85" s="375"/>
      <c r="N85" s="151"/>
      <c r="O85" s="152"/>
    </row>
    <row r="86" spans="1:15" ht="25.5" hidden="1" customHeight="1">
      <c r="A86" s="153" t="s">
        <v>2273</v>
      </c>
      <c r="B86" s="146">
        <v>305</v>
      </c>
      <c r="C86" s="147"/>
      <c r="D86" s="147" t="e">
        <f>F86+J86+#REF!</f>
        <v>#REF!</v>
      </c>
      <c r="E86" s="148"/>
      <c r="F86" s="148"/>
      <c r="G86" s="148"/>
      <c r="H86" s="149"/>
      <c r="I86" s="149"/>
      <c r="J86" s="148">
        <f>I86-H86</f>
        <v>0</v>
      </c>
      <c r="L86" s="375"/>
      <c r="M86" s="375"/>
      <c r="N86" s="151"/>
      <c r="O86" s="152"/>
    </row>
    <row r="87" spans="1:15" ht="17.25" hidden="1" customHeight="1">
      <c r="A87" s="153" t="s">
        <v>2274</v>
      </c>
      <c r="B87" s="146" t="s">
        <v>2275</v>
      </c>
      <c r="C87" s="147" t="e">
        <f>E87+G87+#REF!</f>
        <v>#REF!</v>
      </c>
      <c r="D87" s="147"/>
      <c r="E87" s="148"/>
      <c r="F87" s="148"/>
      <c r="G87" s="148">
        <f>H87-I87</f>
        <v>0</v>
      </c>
      <c r="H87" s="149"/>
      <c r="I87" s="149"/>
      <c r="J87" s="148"/>
      <c r="L87" s="375"/>
      <c r="M87" s="375"/>
      <c r="N87" s="151"/>
      <c r="O87" s="152"/>
    </row>
    <row r="88" spans="1:15" ht="14.25" hidden="1">
      <c r="A88" s="153" t="s">
        <v>39</v>
      </c>
      <c r="B88" s="146" t="s">
        <v>40</v>
      </c>
      <c r="C88" s="147"/>
      <c r="D88" s="147" t="e">
        <f>F88+J88+#REF!</f>
        <v>#REF!</v>
      </c>
      <c r="E88" s="148"/>
      <c r="F88" s="148"/>
      <c r="G88" s="148"/>
      <c r="H88" s="149"/>
      <c r="I88" s="149"/>
      <c r="J88" s="148">
        <f>I88-H88</f>
        <v>0</v>
      </c>
      <c r="L88" s="375"/>
      <c r="M88" s="375"/>
      <c r="N88" s="151"/>
      <c r="O88" s="152"/>
    </row>
    <row r="89" spans="1:15" ht="17.25" hidden="1" customHeight="1">
      <c r="A89" s="153" t="s">
        <v>41</v>
      </c>
      <c r="B89" s="146" t="s">
        <v>42</v>
      </c>
      <c r="C89" s="147" t="e">
        <f>E89+G89+#REF!</f>
        <v>#REF!</v>
      </c>
      <c r="D89" s="147"/>
      <c r="E89" s="148"/>
      <c r="F89" s="148"/>
      <c r="G89" s="148">
        <f>H89-I89</f>
        <v>0</v>
      </c>
      <c r="H89" s="149"/>
      <c r="I89" s="149"/>
      <c r="J89" s="148">
        <f>I89-H89</f>
        <v>0</v>
      </c>
      <c r="L89" s="375"/>
      <c r="M89" s="375"/>
      <c r="N89" s="151"/>
      <c r="O89" s="152"/>
    </row>
    <row r="90" spans="1:15" ht="17.25" hidden="1" customHeight="1">
      <c r="A90" s="153" t="s">
        <v>43</v>
      </c>
      <c r="B90" s="146" t="s">
        <v>44</v>
      </c>
      <c r="C90" s="147"/>
      <c r="D90" s="147" t="e">
        <f>F90+J90+#REF!</f>
        <v>#REF!</v>
      </c>
      <c r="E90" s="148"/>
      <c r="F90" s="148"/>
      <c r="G90" s="148">
        <f>H90-I90</f>
        <v>0</v>
      </c>
      <c r="H90" s="149"/>
      <c r="I90" s="149"/>
      <c r="J90" s="148">
        <f>I90-H90</f>
        <v>0</v>
      </c>
      <c r="L90" s="375"/>
      <c r="M90" s="375"/>
      <c r="N90" s="151"/>
      <c r="O90" s="152"/>
    </row>
    <row r="91" spans="1:15" ht="17.25" hidden="1" customHeight="1">
      <c r="A91" s="153" t="s">
        <v>45</v>
      </c>
      <c r="B91" s="146" t="s">
        <v>46</v>
      </c>
      <c r="C91" s="147" t="e">
        <f>E91+G91+#REF!</f>
        <v>#REF!</v>
      </c>
      <c r="D91" s="147"/>
      <c r="E91" s="148"/>
      <c r="F91" s="148"/>
      <c r="G91" s="148">
        <f>H91-I91</f>
        <v>0</v>
      </c>
      <c r="H91" s="149"/>
      <c r="I91" s="149"/>
      <c r="J91" s="148"/>
      <c r="L91" s="375"/>
      <c r="M91" s="375"/>
      <c r="N91" s="151"/>
      <c r="O91" s="152"/>
    </row>
    <row r="92" spans="1:15" ht="25.5" hidden="1" customHeight="1">
      <c r="A92" s="153" t="s">
        <v>2324</v>
      </c>
      <c r="B92" s="146" t="s">
        <v>2325</v>
      </c>
      <c r="C92" s="147"/>
      <c r="D92" s="147" t="e">
        <f>F92+J92+#REF!</f>
        <v>#REF!</v>
      </c>
      <c r="E92" s="148"/>
      <c r="F92" s="148"/>
      <c r="G92" s="148"/>
      <c r="H92" s="149"/>
      <c r="I92" s="149"/>
      <c r="J92" s="148">
        <f>I92-H92</f>
        <v>0</v>
      </c>
      <c r="L92" s="375"/>
      <c r="M92" s="375"/>
      <c r="N92" s="151"/>
      <c r="O92" s="152"/>
    </row>
    <row r="93" spans="1:15" ht="15.75" hidden="1" customHeight="1">
      <c r="A93" s="153" t="s">
        <v>2326</v>
      </c>
      <c r="B93" s="146" t="s">
        <v>2327</v>
      </c>
      <c r="C93" s="147" t="e">
        <f>E93+G93+#REF!</f>
        <v>#REF!</v>
      </c>
      <c r="D93" s="147"/>
      <c r="E93" s="148"/>
      <c r="F93" s="148"/>
      <c r="G93" s="148">
        <f>H93-I93</f>
        <v>0</v>
      </c>
      <c r="H93" s="149"/>
      <c r="I93" s="149"/>
      <c r="J93" s="148"/>
      <c r="L93" s="375"/>
      <c r="M93" s="375"/>
      <c r="N93" s="151"/>
      <c r="O93" s="152"/>
    </row>
    <row r="94" spans="1:15" ht="25.5" hidden="1" customHeight="1">
      <c r="A94" s="153" t="s">
        <v>2334</v>
      </c>
      <c r="B94" s="146" t="s">
        <v>2335</v>
      </c>
      <c r="C94" s="147"/>
      <c r="D94" s="147" t="e">
        <f>F94+J94+#REF!</f>
        <v>#REF!</v>
      </c>
      <c r="E94" s="148"/>
      <c r="F94" s="148"/>
      <c r="G94" s="148">
        <f>H94-I94</f>
        <v>0</v>
      </c>
      <c r="H94" s="149"/>
      <c r="I94" s="149"/>
      <c r="J94" s="148">
        <f>I94-H94</f>
        <v>0</v>
      </c>
      <c r="L94" s="375"/>
      <c r="M94" s="375"/>
      <c r="N94" s="151"/>
      <c r="O94" s="152"/>
    </row>
    <row r="95" spans="1:15" ht="15.75" hidden="1" customHeight="1">
      <c r="A95" s="153" t="s">
        <v>2336</v>
      </c>
      <c r="B95" s="146" t="s">
        <v>2337</v>
      </c>
      <c r="C95" s="147" t="e">
        <f>E95+G95+#REF!</f>
        <v>#REF!</v>
      </c>
      <c r="D95" s="147"/>
      <c r="E95" s="148"/>
      <c r="F95" s="148"/>
      <c r="G95" s="148">
        <f>H95-I95</f>
        <v>0</v>
      </c>
      <c r="H95" s="149"/>
      <c r="I95" s="149"/>
      <c r="J95" s="148"/>
      <c r="L95" s="375"/>
      <c r="M95" s="375"/>
      <c r="N95" s="151"/>
      <c r="O95" s="152"/>
    </row>
    <row r="96" spans="1:15" ht="14.25" hidden="1">
      <c r="A96" s="153" t="s">
        <v>2338</v>
      </c>
      <c r="B96" s="146" t="s">
        <v>2339</v>
      </c>
      <c r="C96" s="147"/>
      <c r="D96" s="147" t="e">
        <f>F96+J96+#REF!</f>
        <v>#REF!</v>
      </c>
      <c r="E96" s="148"/>
      <c r="F96" s="148"/>
      <c r="G96" s="148"/>
      <c r="H96" s="149"/>
      <c r="I96" s="149"/>
      <c r="J96" s="148">
        <f t="shared" ref="J96:J102" si="1">I96-H96</f>
        <v>0</v>
      </c>
      <c r="L96" s="375"/>
      <c r="M96" s="375"/>
      <c r="N96" s="151"/>
      <c r="O96" s="152"/>
    </row>
    <row r="97" spans="1:15" ht="15.75" hidden="1" customHeight="1">
      <c r="A97" s="153" t="s">
        <v>2340</v>
      </c>
      <c r="B97" s="146" t="s">
        <v>2341</v>
      </c>
      <c r="C97" s="147" t="e">
        <f>E97+G97+#REF!</f>
        <v>#REF!</v>
      </c>
      <c r="D97" s="147"/>
      <c r="E97" s="148"/>
      <c r="F97" s="148"/>
      <c r="G97" s="148">
        <f t="shared" ref="G97:G103" si="2">H97-I97</f>
        <v>0</v>
      </c>
      <c r="H97" s="149"/>
      <c r="I97" s="149"/>
      <c r="J97" s="148"/>
      <c r="L97" s="375"/>
      <c r="M97" s="375"/>
      <c r="N97" s="151"/>
      <c r="O97" s="152"/>
    </row>
    <row r="98" spans="1:15" ht="25.5" hidden="1" customHeight="1">
      <c r="A98" s="153" t="s">
        <v>2342</v>
      </c>
      <c r="B98" s="146" t="s">
        <v>2343</v>
      </c>
      <c r="C98" s="147"/>
      <c r="D98" s="147" t="e">
        <f>F98+J98+#REF!</f>
        <v>#REF!</v>
      </c>
      <c r="E98" s="148"/>
      <c r="F98" s="148"/>
      <c r="G98" s="148"/>
      <c r="H98" s="149"/>
      <c r="I98" s="149"/>
      <c r="J98" s="148">
        <f t="shared" si="1"/>
        <v>0</v>
      </c>
      <c r="L98" s="375"/>
      <c r="M98" s="375"/>
      <c r="N98" s="151"/>
      <c r="O98" s="152"/>
    </row>
    <row r="99" spans="1:15" ht="17.25" hidden="1" customHeight="1">
      <c r="A99" s="153" t="s">
        <v>2344</v>
      </c>
      <c r="B99" s="146" t="s">
        <v>2345</v>
      </c>
      <c r="C99" s="147" t="e">
        <f>E99+G99+#REF!</f>
        <v>#REF!</v>
      </c>
      <c r="D99" s="147"/>
      <c r="E99" s="148"/>
      <c r="F99" s="148"/>
      <c r="G99" s="148">
        <f t="shared" si="2"/>
        <v>0</v>
      </c>
      <c r="H99" s="149"/>
      <c r="I99" s="149"/>
      <c r="J99" s="148">
        <f t="shared" si="1"/>
        <v>0</v>
      </c>
      <c r="L99" s="375"/>
      <c r="M99" s="375"/>
      <c r="N99" s="151"/>
      <c r="O99" s="152"/>
    </row>
    <row r="100" spans="1:15" ht="25.5" hidden="1" customHeight="1">
      <c r="A100" s="153" t="s">
        <v>2346</v>
      </c>
      <c r="B100" s="146" t="s">
        <v>2347</v>
      </c>
      <c r="C100" s="147"/>
      <c r="D100" s="147" t="e">
        <f>F100+J100+#REF!</f>
        <v>#REF!</v>
      </c>
      <c r="E100" s="148"/>
      <c r="F100" s="148"/>
      <c r="G100" s="148">
        <f t="shared" si="2"/>
        <v>0</v>
      </c>
      <c r="H100" s="149"/>
      <c r="I100" s="149"/>
      <c r="J100" s="148">
        <f t="shared" si="1"/>
        <v>0</v>
      </c>
      <c r="L100" s="375"/>
      <c r="M100" s="375"/>
      <c r="N100" s="151"/>
      <c r="O100" s="152"/>
    </row>
    <row r="101" spans="1:15" ht="15.75" hidden="1" customHeight="1">
      <c r="A101" s="153" t="s">
        <v>2348</v>
      </c>
      <c r="B101" s="146" t="s">
        <v>2349</v>
      </c>
      <c r="C101" s="147" t="e">
        <f>E101+G101+#REF!</f>
        <v>#REF!</v>
      </c>
      <c r="D101" s="147"/>
      <c r="E101" s="148"/>
      <c r="F101" s="148"/>
      <c r="G101" s="148">
        <f t="shared" si="2"/>
        <v>0</v>
      </c>
      <c r="H101" s="149"/>
      <c r="I101" s="149"/>
      <c r="J101" s="148">
        <f t="shared" si="1"/>
        <v>0</v>
      </c>
      <c r="L101" s="375"/>
      <c r="M101" s="375"/>
      <c r="N101" s="151"/>
      <c r="O101" s="152"/>
    </row>
    <row r="102" spans="1:15" ht="25.5" hidden="1" customHeight="1">
      <c r="A102" s="153" t="s">
        <v>180</v>
      </c>
      <c r="B102" s="146" t="s">
        <v>181</v>
      </c>
      <c r="C102" s="147"/>
      <c r="D102" s="147" t="e">
        <f>F102+J102+#REF!</f>
        <v>#REF!</v>
      </c>
      <c r="E102" s="148"/>
      <c r="F102" s="148"/>
      <c r="G102" s="148">
        <f t="shared" si="2"/>
        <v>0</v>
      </c>
      <c r="H102" s="149"/>
      <c r="I102" s="149"/>
      <c r="J102" s="148">
        <f t="shared" si="1"/>
        <v>0</v>
      </c>
      <c r="L102" s="375"/>
      <c r="M102" s="375"/>
      <c r="N102" s="151"/>
      <c r="O102" s="152"/>
    </row>
    <row r="103" spans="1:15" ht="15.75" hidden="1" customHeight="1">
      <c r="A103" s="153" t="s">
        <v>182</v>
      </c>
      <c r="B103" s="146" t="s">
        <v>183</v>
      </c>
      <c r="C103" s="147" t="e">
        <f>E103+G103+#REF!</f>
        <v>#REF!</v>
      </c>
      <c r="D103" s="147"/>
      <c r="E103" s="148"/>
      <c r="F103" s="148"/>
      <c r="G103" s="154">
        <f t="shared" si="2"/>
        <v>0</v>
      </c>
      <c r="H103" s="149">
        <f>135000+23800+28700-187500</f>
        <v>0</v>
      </c>
      <c r="I103" s="149"/>
      <c r="J103" s="148"/>
      <c r="L103" s="375"/>
      <c r="M103" s="375"/>
      <c r="N103" s="151"/>
      <c r="O103" s="152"/>
    </row>
    <row r="104" spans="1:15" ht="14.25" hidden="1">
      <c r="A104" s="153" t="s">
        <v>184</v>
      </c>
      <c r="B104" s="146" t="s">
        <v>185</v>
      </c>
      <c r="C104" s="147"/>
      <c r="D104" s="147" t="e">
        <f>F104+J104+#REF!</f>
        <v>#REF!</v>
      </c>
      <c r="E104" s="148"/>
      <c r="F104" s="148"/>
      <c r="G104" s="154"/>
      <c r="H104" s="149"/>
      <c r="I104" s="149"/>
      <c r="J104" s="148">
        <f>I104-H104</f>
        <v>0</v>
      </c>
      <c r="L104" s="375"/>
      <c r="M104" s="375"/>
      <c r="N104" s="151"/>
      <c r="O104" s="152"/>
    </row>
    <row r="105" spans="1:15" ht="15.75" hidden="1" customHeight="1">
      <c r="A105" s="153" t="s">
        <v>186</v>
      </c>
      <c r="B105" s="146" t="s">
        <v>187</v>
      </c>
      <c r="C105" s="147" t="e">
        <f>E105+G105+#REF!</f>
        <v>#REF!</v>
      </c>
      <c r="D105" s="147"/>
      <c r="E105" s="148"/>
      <c r="F105" s="148"/>
      <c r="G105" s="154">
        <f>H105-I105</f>
        <v>0</v>
      </c>
      <c r="H105" s="149"/>
      <c r="I105" s="149"/>
      <c r="J105" s="148"/>
      <c r="L105" s="375"/>
      <c r="M105" s="375"/>
      <c r="N105" s="151"/>
      <c r="O105" s="152"/>
    </row>
    <row r="106" spans="1:15" ht="25.5" hidden="1" customHeight="1">
      <c r="A106" s="153" t="s">
        <v>188</v>
      </c>
      <c r="B106" s="146" t="s">
        <v>189</v>
      </c>
      <c r="C106" s="147"/>
      <c r="D106" s="147" t="e">
        <f>F106+J106+#REF!</f>
        <v>#REF!</v>
      </c>
      <c r="E106" s="148"/>
      <c r="F106" s="148"/>
      <c r="G106" s="154"/>
      <c r="H106" s="149"/>
      <c r="I106" s="149"/>
      <c r="J106" s="148">
        <f>I106-H106</f>
        <v>0</v>
      </c>
      <c r="L106" s="375"/>
      <c r="M106" s="375"/>
      <c r="N106" s="151"/>
      <c r="O106" s="152"/>
    </row>
    <row r="107" spans="1:15" ht="16.5" customHeight="1">
      <c r="A107" s="153" t="s">
        <v>190</v>
      </c>
      <c r="B107" s="146" t="s">
        <v>191</v>
      </c>
      <c r="C107" s="147" t="e">
        <f>E107+G107+#REF!</f>
        <v>#REF!</v>
      </c>
      <c r="D107" s="147"/>
      <c r="E107" s="148"/>
      <c r="F107" s="148"/>
      <c r="G107" s="154">
        <f>H107-I107</f>
        <v>62568</v>
      </c>
      <c r="H107" s="149">
        <v>62568</v>
      </c>
      <c r="I107" s="149"/>
      <c r="J107" s="148"/>
      <c r="L107" s="378">
        <v>59216.15</v>
      </c>
      <c r="M107" s="375"/>
      <c r="N107" s="151"/>
      <c r="O107" s="152"/>
    </row>
    <row r="108" spans="1:15" ht="16.5" hidden="1" customHeight="1">
      <c r="A108" s="153" t="s">
        <v>192</v>
      </c>
      <c r="B108" s="146" t="s">
        <v>193</v>
      </c>
      <c r="C108" s="147"/>
      <c r="D108" s="147" t="e">
        <f>F108+J108+#REF!</f>
        <v>#REF!</v>
      </c>
      <c r="E108" s="148"/>
      <c r="F108" s="148"/>
      <c r="G108" s="154"/>
      <c r="H108" s="149"/>
      <c r="I108" s="149"/>
      <c r="J108" s="148">
        <f>I108-H108</f>
        <v>0</v>
      </c>
      <c r="L108" s="375"/>
      <c r="M108" s="375"/>
      <c r="N108" s="151"/>
      <c r="O108" s="152"/>
    </row>
    <row r="109" spans="1:15" ht="16.5" hidden="1" customHeight="1">
      <c r="A109" s="153" t="s">
        <v>194</v>
      </c>
      <c r="B109" s="146" t="s">
        <v>195</v>
      </c>
      <c r="C109" s="147" t="e">
        <f>E109+G109+#REF!</f>
        <v>#REF!</v>
      </c>
      <c r="D109" s="147"/>
      <c r="E109" s="148"/>
      <c r="F109" s="148"/>
      <c r="G109" s="148">
        <f>H109-I109</f>
        <v>0</v>
      </c>
      <c r="H109" s="149"/>
      <c r="I109" s="149"/>
      <c r="J109" s="148"/>
      <c r="L109" s="375"/>
      <c r="M109" s="375"/>
      <c r="N109" s="151"/>
      <c r="O109" s="152"/>
    </row>
    <row r="110" spans="1:15" ht="16.5" hidden="1" customHeight="1">
      <c r="A110" s="153" t="s">
        <v>196</v>
      </c>
      <c r="B110" s="146" t="s">
        <v>197</v>
      </c>
      <c r="C110" s="147"/>
      <c r="D110" s="147" t="e">
        <f>F110+J110+#REF!</f>
        <v>#REF!</v>
      </c>
      <c r="E110" s="148"/>
      <c r="F110" s="148"/>
      <c r="G110" s="148"/>
      <c r="H110" s="149"/>
      <c r="I110" s="149"/>
      <c r="J110" s="148">
        <f>I110-H110</f>
        <v>0</v>
      </c>
      <c r="L110" s="375"/>
      <c r="M110" s="375"/>
      <c r="N110" s="151"/>
      <c r="O110" s="152"/>
    </row>
    <row r="111" spans="1:15" ht="16.5" hidden="1" customHeight="1">
      <c r="A111" s="153" t="s">
        <v>198</v>
      </c>
      <c r="B111" s="146" t="s">
        <v>199</v>
      </c>
      <c r="C111" s="147" t="e">
        <f>E111+G111+#REF!</f>
        <v>#REF!</v>
      </c>
      <c r="D111" s="147"/>
      <c r="E111" s="148"/>
      <c r="F111" s="148"/>
      <c r="G111" s="148">
        <f>H111-I111</f>
        <v>0</v>
      </c>
      <c r="H111" s="149"/>
      <c r="I111" s="149"/>
      <c r="J111" s="148"/>
      <c r="L111" s="375"/>
      <c r="M111" s="375"/>
      <c r="N111" s="151"/>
      <c r="O111" s="152"/>
    </row>
    <row r="112" spans="1:15" ht="16.5" hidden="1" customHeight="1">
      <c r="A112" s="153" t="s">
        <v>200</v>
      </c>
      <c r="B112" s="146" t="s">
        <v>201</v>
      </c>
      <c r="C112" s="147"/>
      <c r="D112" s="147" t="e">
        <f>F112+J112+#REF!</f>
        <v>#REF!</v>
      </c>
      <c r="E112" s="148"/>
      <c r="F112" s="148"/>
      <c r="G112" s="154"/>
      <c r="H112" s="149"/>
      <c r="I112" s="149"/>
      <c r="J112" s="148">
        <f>I112-H112</f>
        <v>0</v>
      </c>
      <c r="L112" s="375"/>
      <c r="M112" s="375"/>
      <c r="N112" s="151"/>
      <c r="O112" s="152"/>
    </row>
    <row r="113" spans="1:15" ht="30.75" hidden="1" customHeight="1">
      <c r="A113" s="153" t="s">
        <v>2355</v>
      </c>
      <c r="B113" s="146" t="s">
        <v>2356</v>
      </c>
      <c r="C113" s="147" t="e">
        <f>E113+G113+#REF!</f>
        <v>#REF!</v>
      </c>
      <c r="D113" s="147"/>
      <c r="E113" s="148"/>
      <c r="F113" s="148"/>
      <c r="G113" s="154">
        <f>H113-I113</f>
        <v>0</v>
      </c>
      <c r="H113" s="149">
        <f>650000-650000</f>
        <v>0</v>
      </c>
      <c r="I113" s="149"/>
      <c r="J113" s="148"/>
      <c r="L113" s="375"/>
      <c r="M113" s="375"/>
      <c r="N113" s="151"/>
      <c r="O113" s="152"/>
    </row>
    <row r="114" spans="1:15" ht="25.5" hidden="1" customHeight="1">
      <c r="A114" s="153" t="s">
        <v>2357</v>
      </c>
      <c r="B114" s="146" t="s">
        <v>2358</v>
      </c>
      <c r="C114" s="147"/>
      <c r="D114" s="147" t="e">
        <f>F114+J114+#REF!</f>
        <v>#REF!</v>
      </c>
      <c r="E114" s="148"/>
      <c r="F114" s="148"/>
      <c r="G114" s="154"/>
      <c r="H114" s="149"/>
      <c r="I114" s="149"/>
      <c r="J114" s="148">
        <f>I114-H114</f>
        <v>0</v>
      </c>
      <c r="L114" s="375"/>
      <c r="M114" s="375"/>
      <c r="N114" s="151"/>
      <c r="O114" s="152"/>
    </row>
    <row r="115" spans="1:15" ht="25.5" hidden="1" customHeight="1">
      <c r="A115" s="153" t="s">
        <v>2359</v>
      </c>
      <c r="B115" s="146" t="s">
        <v>2360</v>
      </c>
      <c r="C115" s="147" t="e">
        <f>E115+G115+#REF!</f>
        <v>#REF!</v>
      </c>
      <c r="D115" s="147"/>
      <c r="E115" s="148"/>
      <c r="F115" s="148"/>
      <c r="G115" s="154">
        <f>H115-I115</f>
        <v>0</v>
      </c>
      <c r="H115" s="149"/>
      <c r="I115" s="149"/>
      <c r="J115" s="148">
        <f>I115-H115</f>
        <v>0</v>
      </c>
      <c r="L115" s="375"/>
      <c r="M115" s="375"/>
      <c r="N115" s="151"/>
      <c r="O115" s="152"/>
    </row>
    <row r="116" spans="1:15" ht="25.5" hidden="1" customHeight="1">
      <c r="A116" s="153" t="s">
        <v>2361</v>
      </c>
      <c r="B116" s="146" t="s">
        <v>2362</v>
      </c>
      <c r="C116" s="147"/>
      <c r="D116" s="147" t="e">
        <f>F116+J116+#REF!</f>
        <v>#REF!</v>
      </c>
      <c r="E116" s="148"/>
      <c r="F116" s="148"/>
      <c r="G116" s="154">
        <f>H116-I116</f>
        <v>0</v>
      </c>
      <c r="H116" s="149"/>
      <c r="I116" s="149"/>
      <c r="J116" s="148">
        <f>I116-H116</f>
        <v>0</v>
      </c>
      <c r="L116" s="375"/>
      <c r="M116" s="375"/>
      <c r="N116" s="151"/>
      <c r="O116" s="152"/>
    </row>
    <row r="117" spans="1:15" ht="16.5" hidden="1" customHeight="1">
      <c r="A117" s="153" t="s">
        <v>2363</v>
      </c>
      <c r="B117" s="146" t="s">
        <v>2364</v>
      </c>
      <c r="C117" s="147" t="e">
        <f>E117+G117+#REF!</f>
        <v>#REF!</v>
      </c>
      <c r="D117" s="147"/>
      <c r="E117" s="148"/>
      <c r="F117" s="148"/>
      <c r="G117" s="154">
        <f>H117-I117</f>
        <v>0</v>
      </c>
      <c r="H117" s="149">
        <f>8000-8000</f>
        <v>0</v>
      </c>
      <c r="I117" s="149"/>
      <c r="J117" s="148"/>
      <c r="L117" s="375"/>
      <c r="M117" s="375"/>
      <c r="N117" s="151"/>
      <c r="O117" s="152"/>
    </row>
    <row r="118" spans="1:15" ht="25.5" hidden="1" customHeight="1">
      <c r="A118" s="153" t="s">
        <v>2365</v>
      </c>
      <c r="B118" s="146" t="s">
        <v>2366</v>
      </c>
      <c r="C118" s="147"/>
      <c r="D118" s="147" t="e">
        <f>F118+J118+#REF!</f>
        <v>#REF!</v>
      </c>
      <c r="E118" s="148"/>
      <c r="F118" s="148"/>
      <c r="G118" s="148"/>
      <c r="H118" s="149"/>
      <c r="I118" s="149"/>
      <c r="J118" s="148">
        <f>I118-H118</f>
        <v>0</v>
      </c>
      <c r="L118" s="375"/>
      <c r="M118" s="375"/>
      <c r="N118" s="151"/>
      <c r="O118" s="152"/>
    </row>
    <row r="119" spans="1:15" ht="15.75" hidden="1" customHeight="1">
      <c r="A119" s="153" t="s">
        <v>2367</v>
      </c>
      <c r="B119" s="146" t="s">
        <v>2368</v>
      </c>
      <c r="C119" s="147" t="e">
        <f>E119+G119+#REF!</f>
        <v>#REF!</v>
      </c>
      <c r="D119" s="147"/>
      <c r="E119" s="148"/>
      <c r="F119" s="148"/>
      <c r="G119" s="148">
        <f>H119-I119</f>
        <v>0</v>
      </c>
      <c r="H119" s="149"/>
      <c r="I119" s="149"/>
      <c r="J119" s="148"/>
      <c r="L119" s="375"/>
      <c r="M119" s="375"/>
      <c r="N119" s="151"/>
      <c r="O119" s="152"/>
    </row>
    <row r="120" spans="1:15" ht="25.5" hidden="1" customHeight="1">
      <c r="A120" s="153" t="s">
        <v>2522</v>
      </c>
      <c r="B120" s="146" t="s">
        <v>2523</v>
      </c>
      <c r="C120" s="147"/>
      <c r="D120" s="147" t="e">
        <f>F120+J120+#REF!</f>
        <v>#REF!</v>
      </c>
      <c r="E120" s="148"/>
      <c r="F120" s="148"/>
      <c r="G120" s="148">
        <v>0</v>
      </c>
      <c r="H120" s="149"/>
      <c r="I120" s="149"/>
      <c r="J120" s="148">
        <f>I120-H120</f>
        <v>0</v>
      </c>
      <c r="L120" s="375"/>
      <c r="M120" s="375"/>
      <c r="N120" s="151"/>
      <c r="O120" s="152"/>
    </row>
    <row r="121" spans="1:15" ht="15.75" hidden="1" customHeight="1">
      <c r="A121" s="153" t="s">
        <v>2524</v>
      </c>
      <c r="B121" s="146" t="s">
        <v>2525</v>
      </c>
      <c r="C121" s="147" t="e">
        <f>E121+G121+#REF!</f>
        <v>#REF!</v>
      </c>
      <c r="D121" s="147"/>
      <c r="E121" s="148"/>
      <c r="F121" s="148"/>
      <c r="G121" s="154">
        <f>H121-I121</f>
        <v>0</v>
      </c>
      <c r="H121" s="149"/>
      <c r="I121" s="149"/>
      <c r="J121" s="148"/>
      <c r="L121" s="375"/>
      <c r="M121" s="375"/>
      <c r="N121" s="151"/>
      <c r="O121" s="152"/>
    </row>
    <row r="122" spans="1:15" ht="29.25" hidden="1" customHeight="1">
      <c r="A122" s="153" t="s">
        <v>2526</v>
      </c>
      <c r="B122" s="146" t="s">
        <v>2527</v>
      </c>
      <c r="C122" s="147"/>
      <c r="D122" s="147" t="e">
        <f>F122+J122+#REF!</f>
        <v>#REF!</v>
      </c>
      <c r="E122" s="148"/>
      <c r="F122" s="148"/>
      <c r="G122" s="154">
        <f>H122-I122</f>
        <v>0</v>
      </c>
      <c r="H122" s="149"/>
      <c r="I122" s="149"/>
      <c r="J122" s="148">
        <f>I122-H122</f>
        <v>0</v>
      </c>
      <c r="L122" s="375"/>
      <c r="M122" s="375"/>
      <c r="N122" s="151"/>
      <c r="O122" s="152"/>
    </row>
    <row r="123" spans="1:15" ht="15.75" hidden="1" customHeight="1">
      <c r="A123" s="153" t="s">
        <v>2528</v>
      </c>
      <c r="B123" s="146" t="s">
        <v>2529</v>
      </c>
      <c r="C123" s="147" t="e">
        <f>E123+G123+#REF!</f>
        <v>#REF!</v>
      </c>
      <c r="D123" s="147"/>
      <c r="E123" s="148"/>
      <c r="F123" s="148"/>
      <c r="G123" s="154">
        <f>H123-I123</f>
        <v>0</v>
      </c>
      <c r="H123" s="149">
        <f>7995709-7995709+3198957-3198957</f>
        <v>0</v>
      </c>
      <c r="I123" s="149"/>
      <c r="J123" s="148"/>
      <c r="L123" s="375"/>
      <c r="M123" s="375"/>
      <c r="N123" s="151"/>
      <c r="O123" s="152"/>
    </row>
    <row r="124" spans="1:15" ht="25.5" hidden="1" customHeight="1">
      <c r="A124" s="153" t="s">
        <v>2530</v>
      </c>
      <c r="B124" s="146" t="s">
        <v>2531</v>
      </c>
      <c r="C124" s="147"/>
      <c r="D124" s="147" t="e">
        <f>F124+J124+#REF!</f>
        <v>#REF!</v>
      </c>
      <c r="E124" s="148"/>
      <c r="F124" s="148"/>
      <c r="G124" s="154"/>
      <c r="H124" s="149"/>
      <c r="I124" s="149"/>
      <c r="J124" s="148">
        <f>I124-H124</f>
        <v>0</v>
      </c>
      <c r="L124" s="375"/>
      <c r="M124" s="375"/>
      <c r="N124" s="151"/>
      <c r="O124" s="152"/>
    </row>
    <row r="125" spans="1:15" ht="15.75" hidden="1" customHeight="1">
      <c r="A125" s="153" t="s">
        <v>2532</v>
      </c>
      <c r="B125" s="146" t="s">
        <v>2533</v>
      </c>
      <c r="C125" s="147" t="e">
        <f>E125+G125+#REF!</f>
        <v>#REF!</v>
      </c>
      <c r="D125" s="147"/>
      <c r="E125" s="148"/>
      <c r="F125" s="148"/>
      <c r="G125" s="148">
        <f>H125-I125</f>
        <v>0</v>
      </c>
      <c r="H125" s="149"/>
      <c r="I125" s="149"/>
      <c r="J125" s="148"/>
      <c r="L125" s="375"/>
      <c r="M125" s="375"/>
      <c r="N125" s="151"/>
      <c r="O125" s="152"/>
    </row>
    <row r="126" spans="1:15" ht="25.5" hidden="1" customHeight="1">
      <c r="A126" s="153" t="s">
        <v>1475</v>
      </c>
      <c r="B126" s="146" t="s">
        <v>1476</v>
      </c>
      <c r="C126" s="147"/>
      <c r="D126" s="147" t="e">
        <f>F126+J126+#REF!</f>
        <v>#REF!</v>
      </c>
      <c r="E126" s="148"/>
      <c r="F126" s="148"/>
      <c r="G126" s="148"/>
      <c r="H126" s="149"/>
      <c r="I126" s="149"/>
      <c r="J126" s="148">
        <f>I126-H126</f>
        <v>0</v>
      </c>
      <c r="L126" s="375"/>
      <c r="M126" s="375"/>
      <c r="N126" s="151"/>
      <c r="O126" s="152"/>
    </row>
    <row r="127" spans="1:15" ht="15.75" hidden="1" customHeight="1">
      <c r="A127" s="153" t="s">
        <v>1477</v>
      </c>
      <c r="B127" s="146" t="s">
        <v>1478</v>
      </c>
      <c r="C127" s="147" t="e">
        <f>E127+G127+#REF!</f>
        <v>#REF!</v>
      </c>
      <c r="D127" s="147"/>
      <c r="E127" s="148"/>
      <c r="F127" s="148"/>
      <c r="G127" s="148">
        <f>H127-I127</f>
        <v>0</v>
      </c>
      <c r="H127" s="149"/>
      <c r="I127" s="149"/>
      <c r="J127" s="148"/>
      <c r="L127" s="375"/>
      <c r="M127" s="375"/>
      <c r="N127" s="151"/>
      <c r="O127" s="152"/>
    </row>
    <row r="128" spans="1:15" ht="25.5" hidden="1" customHeight="1">
      <c r="A128" s="153" t="s">
        <v>1479</v>
      </c>
      <c r="B128" s="146" t="s">
        <v>1480</v>
      </c>
      <c r="C128" s="147"/>
      <c r="D128" s="147" t="e">
        <f>F128+J128+#REF!</f>
        <v>#REF!</v>
      </c>
      <c r="E128" s="148"/>
      <c r="F128" s="148"/>
      <c r="G128" s="148"/>
      <c r="H128" s="149"/>
      <c r="I128" s="149"/>
      <c r="J128" s="148">
        <f>I128-H128</f>
        <v>0</v>
      </c>
      <c r="L128" s="375"/>
      <c r="M128" s="375"/>
      <c r="N128" s="151"/>
      <c r="O128" s="152"/>
    </row>
    <row r="129" spans="1:15" ht="25.5" hidden="1" customHeight="1">
      <c r="A129" s="153" t="s">
        <v>1481</v>
      </c>
      <c r="B129" s="146" t="s">
        <v>1482</v>
      </c>
      <c r="C129" s="147" t="e">
        <f>E129+G129+#REF!</f>
        <v>#REF!</v>
      </c>
      <c r="D129" s="147"/>
      <c r="E129" s="148"/>
      <c r="F129" s="148"/>
      <c r="G129" s="148">
        <f>H129-I129</f>
        <v>0</v>
      </c>
      <c r="H129" s="149"/>
      <c r="I129" s="149"/>
      <c r="J129" s="148">
        <f>I129-H129</f>
        <v>0</v>
      </c>
      <c r="L129" s="375"/>
      <c r="M129" s="375"/>
      <c r="N129" s="151"/>
      <c r="O129" s="152"/>
    </row>
    <row r="130" spans="1:15" ht="25.5" hidden="1" customHeight="1">
      <c r="A130" s="153" t="s">
        <v>1483</v>
      </c>
      <c r="B130" s="146" t="s">
        <v>1484</v>
      </c>
      <c r="C130" s="147"/>
      <c r="D130" s="147" t="e">
        <f>F130+J130+#REF!</f>
        <v>#REF!</v>
      </c>
      <c r="E130" s="148"/>
      <c r="F130" s="148"/>
      <c r="G130" s="148">
        <f>H130-I130</f>
        <v>0</v>
      </c>
      <c r="H130" s="149"/>
      <c r="I130" s="149"/>
      <c r="J130" s="148">
        <f>I130-H130</f>
        <v>0</v>
      </c>
      <c r="L130" s="375"/>
      <c r="M130" s="375"/>
      <c r="N130" s="151"/>
      <c r="O130" s="152"/>
    </row>
    <row r="131" spans="1:15" ht="15.75" hidden="1" customHeight="1">
      <c r="A131" s="153" t="s">
        <v>1485</v>
      </c>
      <c r="B131" s="146" t="s">
        <v>1486</v>
      </c>
      <c r="C131" s="147" t="e">
        <f>E131+G131+#REF!</f>
        <v>#REF!</v>
      </c>
      <c r="D131" s="147"/>
      <c r="E131" s="148"/>
      <c r="F131" s="148"/>
      <c r="G131" s="148">
        <f>H131-I131</f>
        <v>0</v>
      </c>
      <c r="H131" s="149"/>
      <c r="I131" s="149"/>
      <c r="J131" s="148"/>
      <c r="L131" s="375"/>
      <c r="M131" s="375"/>
      <c r="N131" s="151"/>
      <c r="O131" s="152"/>
    </row>
    <row r="132" spans="1:15" ht="25.5" hidden="1" customHeight="1">
      <c r="A132" s="153" t="s">
        <v>8</v>
      </c>
      <c r="B132" s="146" t="s">
        <v>9</v>
      </c>
      <c r="C132" s="147"/>
      <c r="D132" s="147" t="e">
        <f>F132+J132+#REF!</f>
        <v>#REF!</v>
      </c>
      <c r="E132" s="148"/>
      <c r="F132" s="148"/>
      <c r="G132" s="148"/>
      <c r="H132" s="149"/>
      <c r="I132" s="149"/>
      <c r="J132" s="148">
        <f>I132-H132</f>
        <v>0</v>
      </c>
      <c r="L132" s="375"/>
      <c r="M132" s="375"/>
      <c r="N132" s="151"/>
      <c r="O132" s="152"/>
    </row>
    <row r="133" spans="1:15" ht="15.75" hidden="1" customHeight="1">
      <c r="A133" s="153" t="s">
        <v>2098</v>
      </c>
      <c r="B133" s="146" t="s">
        <v>2099</v>
      </c>
      <c r="C133" s="147" t="e">
        <f>E133+G133+#REF!</f>
        <v>#REF!</v>
      </c>
      <c r="D133" s="147"/>
      <c r="E133" s="148"/>
      <c r="F133" s="148"/>
      <c r="G133" s="156">
        <f>H133-I133</f>
        <v>0</v>
      </c>
      <c r="H133" s="149">
        <f>155500-155500</f>
        <v>0</v>
      </c>
      <c r="I133" s="149"/>
      <c r="J133" s="148"/>
      <c r="L133" s="375"/>
      <c r="M133" s="375"/>
      <c r="N133" s="151"/>
      <c r="O133" s="152"/>
    </row>
    <row r="134" spans="1:15" ht="25.5" hidden="1" customHeight="1">
      <c r="A134" s="153" t="s">
        <v>2100</v>
      </c>
      <c r="B134" s="146" t="s">
        <v>2101</v>
      </c>
      <c r="C134" s="147"/>
      <c r="D134" s="147" t="e">
        <f>F134+J134+#REF!</f>
        <v>#REF!</v>
      </c>
      <c r="E134" s="148"/>
      <c r="F134" s="148"/>
      <c r="G134" s="148"/>
      <c r="H134" s="149"/>
      <c r="I134" s="149"/>
      <c r="J134" s="148">
        <f>I134-H134</f>
        <v>0</v>
      </c>
      <c r="L134" s="375"/>
      <c r="M134" s="375"/>
      <c r="N134" s="151"/>
      <c r="O134" s="152"/>
    </row>
    <row r="135" spans="1:15" ht="16.5" hidden="1" customHeight="1">
      <c r="A135" s="153" t="s">
        <v>2102</v>
      </c>
      <c r="B135" s="146" t="s">
        <v>2103</v>
      </c>
      <c r="C135" s="147" t="e">
        <f>E135+G135+#REF!</f>
        <v>#REF!</v>
      </c>
      <c r="D135" s="147"/>
      <c r="E135" s="148"/>
      <c r="F135" s="148"/>
      <c r="G135" s="156">
        <f>H135-I135</f>
        <v>0</v>
      </c>
      <c r="H135" s="149">
        <f>135000-135000</f>
        <v>0</v>
      </c>
      <c r="I135" s="149"/>
      <c r="J135" s="148"/>
      <c r="L135" s="375"/>
      <c r="M135" s="375"/>
      <c r="N135" s="151"/>
      <c r="O135" s="152"/>
    </row>
    <row r="136" spans="1:15" ht="14.25" hidden="1">
      <c r="A136" s="153" t="s">
        <v>2104</v>
      </c>
      <c r="B136" s="146" t="s">
        <v>2105</v>
      </c>
      <c r="C136" s="147"/>
      <c r="D136" s="147" t="e">
        <f>F136+J136+#REF!</f>
        <v>#REF!</v>
      </c>
      <c r="E136" s="148"/>
      <c r="F136" s="148"/>
      <c r="G136" s="148"/>
      <c r="H136" s="149"/>
      <c r="I136" s="149"/>
      <c r="J136" s="148">
        <f>I136-H136</f>
        <v>0</v>
      </c>
      <c r="L136" s="375"/>
      <c r="M136" s="375"/>
      <c r="N136" s="151"/>
      <c r="O136" s="152"/>
    </row>
    <row r="137" spans="1:15" ht="25.5" hidden="1" customHeight="1">
      <c r="A137" s="153" t="s">
        <v>2106</v>
      </c>
      <c r="B137" s="146" t="s">
        <v>2107</v>
      </c>
      <c r="C137" s="147" t="e">
        <f>E137+G137+#REF!</f>
        <v>#REF!</v>
      </c>
      <c r="D137" s="147"/>
      <c r="E137" s="148"/>
      <c r="F137" s="148"/>
      <c r="G137" s="148">
        <f>H137-I137</f>
        <v>0</v>
      </c>
      <c r="H137" s="149"/>
      <c r="I137" s="149"/>
      <c r="J137" s="148"/>
      <c r="L137" s="375"/>
      <c r="M137" s="375"/>
      <c r="N137" s="151"/>
      <c r="O137" s="152"/>
    </row>
    <row r="138" spans="1:15" ht="25.5" hidden="1" customHeight="1">
      <c r="A138" s="153" t="s">
        <v>2108</v>
      </c>
      <c r="B138" s="146" t="s">
        <v>2109</v>
      </c>
      <c r="C138" s="147"/>
      <c r="D138" s="147" t="e">
        <f>F138+J138+#REF!</f>
        <v>#REF!</v>
      </c>
      <c r="E138" s="148"/>
      <c r="F138" s="148"/>
      <c r="G138" s="148">
        <f>H138-I138</f>
        <v>0</v>
      </c>
      <c r="H138" s="149"/>
      <c r="I138" s="149"/>
      <c r="J138" s="148"/>
      <c r="L138" s="375"/>
      <c r="M138" s="375"/>
      <c r="N138" s="151"/>
      <c r="O138" s="152"/>
    </row>
    <row r="139" spans="1:15" ht="25.5" hidden="1" customHeight="1">
      <c r="A139" s="153" t="s">
        <v>768</v>
      </c>
      <c r="B139" s="146" t="s">
        <v>769</v>
      </c>
      <c r="C139" s="147" t="e">
        <f>E139+G139+#REF!</f>
        <v>#REF!</v>
      </c>
      <c r="D139" s="147"/>
      <c r="E139" s="148"/>
      <c r="F139" s="148"/>
      <c r="G139" s="148">
        <f>H139-I139</f>
        <v>0</v>
      </c>
      <c r="H139" s="149"/>
      <c r="I139" s="149"/>
      <c r="J139" s="148"/>
      <c r="L139" s="375"/>
      <c r="M139" s="375"/>
      <c r="N139" s="151"/>
      <c r="O139" s="152"/>
    </row>
    <row r="140" spans="1:15" ht="25.5" hidden="1" customHeight="1">
      <c r="A140" s="153" t="s">
        <v>770</v>
      </c>
      <c r="B140" s="146" t="s">
        <v>771</v>
      </c>
      <c r="C140" s="147"/>
      <c r="D140" s="147" t="e">
        <f>F140+J140+#REF!</f>
        <v>#REF!</v>
      </c>
      <c r="E140" s="148"/>
      <c r="F140" s="148"/>
      <c r="G140" s="148">
        <f>H140-I140</f>
        <v>0</v>
      </c>
      <c r="H140" s="149"/>
      <c r="I140" s="149"/>
      <c r="J140" s="148"/>
      <c r="L140" s="375"/>
      <c r="M140" s="375"/>
      <c r="N140" s="151"/>
      <c r="O140" s="152"/>
    </row>
    <row r="141" spans="1:15" ht="15.75" hidden="1" customHeight="1">
      <c r="A141" s="153" t="s">
        <v>772</v>
      </c>
      <c r="B141" s="146" t="s">
        <v>773</v>
      </c>
      <c r="C141" s="147" t="e">
        <f>E141+G141+#REF!</f>
        <v>#REF!</v>
      </c>
      <c r="D141" s="147"/>
      <c r="E141" s="148"/>
      <c r="F141" s="148"/>
      <c r="G141" s="148">
        <f>H141-I141</f>
        <v>0</v>
      </c>
      <c r="H141" s="149"/>
      <c r="I141" s="149"/>
      <c r="J141" s="148"/>
      <c r="L141" s="375"/>
      <c r="M141" s="375"/>
      <c r="N141" s="151"/>
      <c r="O141" s="152"/>
    </row>
    <row r="142" spans="1:15" ht="15.75" hidden="1" customHeight="1">
      <c r="A142" s="153" t="s">
        <v>774</v>
      </c>
      <c r="B142" s="146" t="s">
        <v>775</v>
      </c>
      <c r="C142" s="147"/>
      <c r="D142" s="147" t="e">
        <f>F142+J142+#REF!</f>
        <v>#REF!</v>
      </c>
      <c r="E142" s="148"/>
      <c r="F142" s="148"/>
      <c r="G142" s="148"/>
      <c r="H142" s="149"/>
      <c r="I142" s="149"/>
      <c r="J142" s="148">
        <f>I142-H142</f>
        <v>0</v>
      </c>
      <c r="L142" s="375"/>
      <c r="M142" s="375"/>
      <c r="N142" s="151"/>
      <c r="O142" s="152"/>
    </row>
    <row r="143" spans="1:15" ht="25.5" hidden="1" customHeight="1">
      <c r="A143" s="153" t="s">
        <v>776</v>
      </c>
      <c r="B143" s="146" t="s">
        <v>1522</v>
      </c>
      <c r="C143" s="147" t="e">
        <f>E143+G143+#REF!</f>
        <v>#REF!</v>
      </c>
      <c r="D143" s="147"/>
      <c r="E143" s="148"/>
      <c r="F143" s="148"/>
      <c r="G143" s="148">
        <f>H143-I143</f>
        <v>0</v>
      </c>
      <c r="H143" s="149"/>
      <c r="I143" s="149"/>
      <c r="J143" s="148"/>
      <c r="L143" s="375"/>
      <c r="M143" s="375"/>
      <c r="N143" s="151"/>
      <c r="O143" s="152"/>
    </row>
    <row r="144" spans="1:15" ht="25.5" hidden="1" customHeight="1">
      <c r="A144" s="153" t="s">
        <v>1523</v>
      </c>
      <c r="B144" s="146" t="s">
        <v>1524</v>
      </c>
      <c r="C144" s="147"/>
      <c r="D144" s="147" t="e">
        <f>F144+J144+#REF!</f>
        <v>#REF!</v>
      </c>
      <c r="E144" s="148"/>
      <c r="F144" s="148"/>
      <c r="G144" s="148"/>
      <c r="H144" s="149"/>
      <c r="I144" s="149"/>
      <c r="J144" s="148">
        <f>I144</f>
        <v>0</v>
      </c>
      <c r="L144" s="375"/>
      <c r="M144" s="375"/>
      <c r="N144" s="151"/>
      <c r="O144" s="152"/>
    </row>
    <row r="145" spans="1:15" ht="15.75" hidden="1" customHeight="1">
      <c r="A145" s="153" t="s">
        <v>1525</v>
      </c>
      <c r="B145" s="146" t="s">
        <v>1526</v>
      </c>
      <c r="C145" s="147" t="e">
        <f>E145+G145+#REF!</f>
        <v>#REF!</v>
      </c>
      <c r="D145" s="147"/>
      <c r="E145" s="148"/>
      <c r="F145" s="148"/>
      <c r="G145" s="148">
        <f>H145-I145</f>
        <v>0</v>
      </c>
      <c r="H145" s="149"/>
      <c r="I145" s="149"/>
      <c r="J145" s="148"/>
      <c r="L145" s="375"/>
      <c r="M145" s="375"/>
      <c r="N145" s="151"/>
      <c r="O145" s="152"/>
    </row>
    <row r="146" spans="1:15" ht="25.5" hidden="1" customHeight="1">
      <c r="A146" s="153" t="s">
        <v>1527</v>
      </c>
      <c r="B146" s="146" t="s">
        <v>1528</v>
      </c>
      <c r="C146" s="147"/>
      <c r="D146" s="147" t="e">
        <f>F146+J146+#REF!</f>
        <v>#REF!</v>
      </c>
      <c r="E146" s="148"/>
      <c r="F146" s="148"/>
      <c r="G146" s="148"/>
      <c r="H146" s="149"/>
      <c r="I146" s="149"/>
      <c r="J146" s="148">
        <f>I146-H146</f>
        <v>0</v>
      </c>
      <c r="L146" s="375"/>
      <c r="M146" s="375"/>
      <c r="N146" s="151"/>
      <c r="O146" s="152"/>
    </row>
    <row r="147" spans="1:15" ht="25.5" hidden="1" customHeight="1">
      <c r="A147" s="153" t="s">
        <v>1529</v>
      </c>
      <c r="B147" s="146" t="s">
        <v>1530</v>
      </c>
      <c r="C147" s="147" t="e">
        <f>E147+G147+#REF!</f>
        <v>#REF!</v>
      </c>
      <c r="D147" s="147"/>
      <c r="E147" s="148"/>
      <c r="F147" s="148"/>
      <c r="G147" s="148">
        <f t="shared" ref="G147:G172" si="3">H147-I147</f>
        <v>0</v>
      </c>
      <c r="H147" s="149"/>
      <c r="I147" s="149"/>
      <c r="J147" s="148"/>
      <c r="L147" s="375"/>
      <c r="M147" s="375"/>
      <c r="N147" s="151"/>
      <c r="O147" s="152"/>
    </row>
    <row r="148" spans="1:15" ht="25.5" hidden="1" customHeight="1">
      <c r="A148" s="153" t="s">
        <v>1531</v>
      </c>
      <c r="B148" s="146" t="s">
        <v>1532</v>
      </c>
      <c r="C148" s="147" t="e">
        <f>E148+G148+#REF!</f>
        <v>#REF!</v>
      </c>
      <c r="D148" s="147"/>
      <c r="E148" s="148"/>
      <c r="F148" s="148"/>
      <c r="G148" s="148">
        <f t="shared" si="3"/>
        <v>0</v>
      </c>
      <c r="H148" s="149"/>
      <c r="I148" s="149"/>
      <c r="J148" s="148"/>
      <c r="L148" s="375"/>
      <c r="M148" s="375"/>
      <c r="N148" s="151"/>
      <c r="O148" s="152"/>
    </row>
    <row r="149" spans="1:15" ht="25.5" hidden="1" customHeight="1">
      <c r="A149" s="153" t="s">
        <v>1533</v>
      </c>
      <c r="B149" s="146" t="s">
        <v>1534</v>
      </c>
      <c r="C149" s="147" t="e">
        <f>E149+G149+#REF!</f>
        <v>#REF!</v>
      </c>
      <c r="D149" s="147"/>
      <c r="E149" s="148"/>
      <c r="F149" s="148"/>
      <c r="G149" s="148">
        <f t="shared" si="3"/>
        <v>0</v>
      </c>
      <c r="H149" s="149"/>
      <c r="I149" s="149"/>
      <c r="J149" s="148"/>
      <c r="L149" s="375"/>
      <c r="M149" s="375"/>
      <c r="N149" s="151"/>
      <c r="O149" s="152"/>
    </row>
    <row r="150" spans="1:15" ht="25.5" hidden="1" customHeight="1">
      <c r="A150" s="153" t="s">
        <v>1535</v>
      </c>
      <c r="B150" s="146" t="s">
        <v>1536</v>
      </c>
      <c r="C150" s="147" t="e">
        <f>E150+G150+#REF!</f>
        <v>#REF!</v>
      </c>
      <c r="D150" s="147"/>
      <c r="E150" s="148"/>
      <c r="F150" s="148"/>
      <c r="G150" s="148">
        <f t="shared" si="3"/>
        <v>0</v>
      </c>
      <c r="H150" s="149"/>
      <c r="I150" s="149"/>
      <c r="J150" s="148"/>
      <c r="L150" s="375"/>
      <c r="M150" s="375"/>
      <c r="N150" s="151"/>
      <c r="O150" s="152"/>
    </row>
    <row r="151" spans="1:15" ht="25.5" hidden="1" customHeight="1">
      <c r="A151" s="153" t="s">
        <v>1537</v>
      </c>
      <c r="B151" s="146" t="s">
        <v>1538</v>
      </c>
      <c r="C151" s="147" t="e">
        <f>E151+G151+#REF!</f>
        <v>#REF!</v>
      </c>
      <c r="D151" s="147"/>
      <c r="E151" s="148"/>
      <c r="F151" s="148"/>
      <c r="G151" s="148">
        <f t="shared" si="3"/>
        <v>0</v>
      </c>
      <c r="H151" s="149"/>
      <c r="I151" s="149"/>
      <c r="J151" s="148"/>
      <c r="L151" s="375"/>
      <c r="M151" s="375"/>
      <c r="N151" s="151"/>
      <c r="O151" s="152"/>
    </row>
    <row r="152" spans="1:15" ht="25.5" hidden="1" customHeight="1">
      <c r="A152" s="153" t="s">
        <v>1539</v>
      </c>
      <c r="B152" s="146" t="s">
        <v>1686</v>
      </c>
      <c r="C152" s="147" t="e">
        <f>E152+G152+#REF!</f>
        <v>#REF!</v>
      </c>
      <c r="D152" s="147"/>
      <c r="E152" s="148"/>
      <c r="F152" s="148"/>
      <c r="G152" s="148">
        <f t="shared" si="3"/>
        <v>0</v>
      </c>
      <c r="H152" s="149"/>
      <c r="I152" s="149"/>
      <c r="J152" s="148"/>
      <c r="L152" s="375"/>
      <c r="M152" s="375"/>
      <c r="N152" s="151"/>
      <c r="O152" s="152"/>
    </row>
    <row r="153" spans="1:15" ht="25.5" hidden="1" customHeight="1">
      <c r="A153" s="153" t="s">
        <v>202</v>
      </c>
      <c r="B153" s="146" t="s">
        <v>203</v>
      </c>
      <c r="C153" s="147" t="e">
        <f>E153+G153+#REF!</f>
        <v>#REF!</v>
      </c>
      <c r="D153" s="147"/>
      <c r="E153" s="148"/>
      <c r="F153" s="148"/>
      <c r="G153" s="148">
        <f t="shared" si="3"/>
        <v>0</v>
      </c>
      <c r="H153" s="149"/>
      <c r="I153" s="149"/>
      <c r="J153" s="148"/>
      <c r="L153" s="375"/>
      <c r="M153" s="375"/>
      <c r="N153" s="151"/>
      <c r="O153" s="152"/>
    </row>
    <row r="154" spans="1:15" ht="25.5" hidden="1" customHeight="1">
      <c r="A154" s="153" t="s">
        <v>204</v>
      </c>
      <c r="B154" s="146" t="s">
        <v>205</v>
      </c>
      <c r="C154" s="147" t="e">
        <f>E154+G154+#REF!</f>
        <v>#REF!</v>
      </c>
      <c r="D154" s="147"/>
      <c r="E154" s="148"/>
      <c r="F154" s="148"/>
      <c r="G154" s="148">
        <f t="shared" si="3"/>
        <v>0</v>
      </c>
      <c r="H154" s="149"/>
      <c r="I154" s="149"/>
      <c r="J154" s="148"/>
      <c r="L154" s="375"/>
      <c r="M154" s="375"/>
      <c r="N154" s="151"/>
      <c r="O154" s="152"/>
    </row>
    <row r="155" spans="1:15" ht="25.5" hidden="1" customHeight="1">
      <c r="A155" s="153" t="s">
        <v>206</v>
      </c>
      <c r="B155" s="146" t="s">
        <v>207</v>
      </c>
      <c r="C155" s="147" t="e">
        <f>E155+G155+#REF!</f>
        <v>#REF!</v>
      </c>
      <c r="D155" s="147"/>
      <c r="E155" s="148"/>
      <c r="F155" s="148"/>
      <c r="G155" s="148">
        <f t="shared" si="3"/>
        <v>0</v>
      </c>
      <c r="H155" s="149"/>
      <c r="I155" s="149"/>
      <c r="J155" s="148"/>
      <c r="L155" s="375"/>
      <c r="M155" s="375"/>
      <c r="N155" s="151"/>
      <c r="O155" s="152"/>
    </row>
    <row r="156" spans="1:15" ht="25.5" hidden="1" customHeight="1">
      <c r="A156" s="153" t="s">
        <v>208</v>
      </c>
      <c r="B156" s="146" t="s">
        <v>209</v>
      </c>
      <c r="C156" s="147" t="e">
        <f>E156+G156+#REF!</f>
        <v>#REF!</v>
      </c>
      <c r="D156" s="147"/>
      <c r="E156" s="148"/>
      <c r="F156" s="148"/>
      <c r="G156" s="148">
        <f t="shared" si="3"/>
        <v>0</v>
      </c>
      <c r="H156" s="149"/>
      <c r="I156" s="149"/>
      <c r="J156" s="148"/>
      <c r="L156" s="375"/>
      <c r="M156" s="375"/>
      <c r="N156" s="151"/>
      <c r="O156" s="152"/>
    </row>
    <row r="157" spans="1:15" ht="27.75" customHeight="1">
      <c r="A157" s="153" t="s">
        <v>210</v>
      </c>
      <c r="B157" s="146" t="s">
        <v>211</v>
      </c>
      <c r="C157" s="147" t="e">
        <f>E157+G157+#REF!</f>
        <v>#REF!</v>
      </c>
      <c r="D157" s="147"/>
      <c r="E157" s="148"/>
      <c r="F157" s="148"/>
      <c r="G157" s="148">
        <f t="shared" si="3"/>
        <v>0</v>
      </c>
      <c r="H157" s="149"/>
      <c r="I157" s="149"/>
      <c r="J157" s="148"/>
      <c r="L157" s="375"/>
      <c r="M157" s="375"/>
      <c r="N157" s="151"/>
      <c r="O157" s="152"/>
    </row>
    <row r="158" spans="1:15" ht="25.5" customHeight="1">
      <c r="A158" s="153" t="s">
        <v>212</v>
      </c>
      <c r="B158" s="146" t="s">
        <v>213</v>
      </c>
      <c r="C158" s="147" t="e">
        <f>E158+G158+#REF!</f>
        <v>#REF!</v>
      </c>
      <c r="D158" s="147"/>
      <c r="E158" s="148"/>
      <c r="F158" s="148"/>
      <c r="G158" s="148">
        <f t="shared" si="3"/>
        <v>0</v>
      </c>
      <c r="H158" s="149"/>
      <c r="I158" s="149"/>
      <c r="J158" s="148"/>
      <c r="L158" s="375"/>
      <c r="M158" s="375"/>
      <c r="N158" s="151"/>
      <c r="O158" s="152"/>
    </row>
    <row r="159" spans="1:15" ht="25.5" hidden="1" customHeight="1">
      <c r="A159" s="153" t="s">
        <v>214</v>
      </c>
      <c r="B159" s="146" t="s">
        <v>215</v>
      </c>
      <c r="C159" s="147" t="e">
        <f>E159+G159+#REF!</f>
        <v>#REF!</v>
      </c>
      <c r="D159" s="147"/>
      <c r="E159" s="148"/>
      <c r="F159" s="148"/>
      <c r="G159" s="148">
        <f t="shared" si="3"/>
        <v>0</v>
      </c>
      <c r="H159" s="149"/>
      <c r="I159" s="149"/>
      <c r="J159" s="148"/>
      <c r="L159" s="375"/>
      <c r="M159" s="375"/>
      <c r="N159" s="151"/>
      <c r="O159" s="152"/>
    </row>
    <row r="160" spans="1:15" ht="25.5" hidden="1" customHeight="1">
      <c r="A160" s="153" t="s">
        <v>216</v>
      </c>
      <c r="B160" s="146" t="s">
        <v>217</v>
      </c>
      <c r="C160" s="147" t="e">
        <f>E160+G160+#REF!</f>
        <v>#REF!</v>
      </c>
      <c r="D160" s="147"/>
      <c r="E160" s="148"/>
      <c r="F160" s="148"/>
      <c r="G160" s="148">
        <f t="shared" si="3"/>
        <v>0</v>
      </c>
      <c r="H160" s="149"/>
      <c r="I160" s="149"/>
      <c r="J160" s="148"/>
      <c r="L160" s="375"/>
      <c r="M160" s="375"/>
      <c r="N160" s="151"/>
      <c r="O160" s="152"/>
    </row>
    <row r="161" spans="1:15" ht="25.5" hidden="1" customHeight="1">
      <c r="A161" s="153" t="s">
        <v>218</v>
      </c>
      <c r="B161" s="146" t="s">
        <v>219</v>
      </c>
      <c r="C161" s="147" t="e">
        <f>E161+G161+#REF!</f>
        <v>#REF!</v>
      </c>
      <c r="D161" s="147"/>
      <c r="E161" s="148"/>
      <c r="F161" s="148"/>
      <c r="G161" s="148">
        <f t="shared" si="3"/>
        <v>0</v>
      </c>
      <c r="H161" s="149"/>
      <c r="I161" s="149"/>
      <c r="J161" s="148"/>
      <c r="L161" s="375"/>
      <c r="M161" s="375"/>
      <c r="N161" s="151"/>
      <c r="O161" s="152"/>
    </row>
    <row r="162" spans="1:15" ht="25.5" customHeight="1">
      <c r="A162" s="153" t="s">
        <v>1614</v>
      </c>
      <c r="B162" s="146" t="s">
        <v>1615</v>
      </c>
      <c r="C162" s="147" t="e">
        <f>E162+G162+#REF!</f>
        <v>#REF!</v>
      </c>
      <c r="D162" s="147"/>
      <c r="E162" s="148"/>
      <c r="F162" s="148"/>
      <c r="G162" s="148">
        <f t="shared" si="3"/>
        <v>0</v>
      </c>
      <c r="H162" s="149"/>
      <c r="I162" s="149"/>
      <c r="J162" s="148"/>
      <c r="L162" s="375"/>
      <c r="M162" s="375"/>
      <c r="N162" s="151"/>
      <c r="O162" s="152"/>
    </row>
    <row r="163" spans="1:15" ht="25.5" customHeight="1">
      <c r="A163" s="153" t="s">
        <v>1616</v>
      </c>
      <c r="B163" s="146" t="s">
        <v>1617</v>
      </c>
      <c r="C163" s="147" t="e">
        <f>E163+G163+#REF!</f>
        <v>#REF!</v>
      </c>
      <c r="D163" s="147"/>
      <c r="E163" s="148"/>
      <c r="F163" s="148"/>
      <c r="G163" s="148">
        <f t="shared" si="3"/>
        <v>0</v>
      </c>
      <c r="H163" s="149"/>
      <c r="I163" s="149"/>
      <c r="J163" s="148"/>
      <c r="L163" s="375"/>
      <c r="M163" s="375"/>
      <c r="N163" s="151"/>
      <c r="O163" s="152"/>
    </row>
    <row r="164" spans="1:15" ht="25.5" hidden="1" customHeight="1">
      <c r="A164" s="153" t="s">
        <v>1618</v>
      </c>
      <c r="B164" s="146" t="s">
        <v>1619</v>
      </c>
      <c r="C164" s="147" t="e">
        <f>E164+G164+#REF!</f>
        <v>#REF!</v>
      </c>
      <c r="D164" s="147"/>
      <c r="E164" s="148"/>
      <c r="F164" s="148"/>
      <c r="G164" s="148">
        <f t="shared" si="3"/>
        <v>0</v>
      </c>
      <c r="H164" s="149"/>
      <c r="I164" s="149"/>
      <c r="J164" s="148"/>
      <c r="L164" s="375"/>
      <c r="M164" s="375"/>
      <c r="N164" s="151"/>
      <c r="O164" s="152"/>
    </row>
    <row r="165" spans="1:15" ht="24" hidden="1" customHeight="1">
      <c r="A165" s="153" t="s">
        <v>1620</v>
      </c>
      <c r="B165" s="146" t="s">
        <v>1621</v>
      </c>
      <c r="C165" s="147" t="e">
        <f>E165+G165+#REF!</f>
        <v>#REF!</v>
      </c>
      <c r="D165" s="147"/>
      <c r="E165" s="148"/>
      <c r="F165" s="148"/>
      <c r="G165" s="148">
        <f t="shared" si="3"/>
        <v>0</v>
      </c>
      <c r="H165" s="149"/>
      <c r="I165" s="149"/>
      <c r="J165" s="148"/>
      <c r="L165" s="375"/>
      <c r="M165" s="375"/>
      <c r="N165" s="151"/>
      <c r="O165" s="152"/>
    </row>
    <row r="166" spans="1:15" ht="15.75" hidden="1" customHeight="1">
      <c r="A166" s="145" t="s">
        <v>1622</v>
      </c>
      <c r="B166" s="146" t="s">
        <v>1623</v>
      </c>
      <c r="C166" s="147" t="e">
        <f>E166+G166+#REF!</f>
        <v>#REF!</v>
      </c>
      <c r="D166" s="147"/>
      <c r="E166" s="148"/>
      <c r="F166" s="148"/>
      <c r="G166" s="148">
        <f t="shared" si="3"/>
        <v>0</v>
      </c>
      <c r="H166" s="149"/>
      <c r="I166" s="149"/>
      <c r="J166" s="148"/>
      <c r="L166" s="375"/>
      <c r="M166" s="375"/>
      <c r="N166" s="151"/>
      <c r="O166" s="152"/>
    </row>
    <row r="167" spans="1:15" ht="15.75" hidden="1" customHeight="1">
      <c r="A167" s="145" t="s">
        <v>1624</v>
      </c>
      <c r="B167" s="146" t="s">
        <v>1625</v>
      </c>
      <c r="C167" s="147" t="e">
        <f>E167+G167+#REF!</f>
        <v>#REF!</v>
      </c>
      <c r="D167" s="147"/>
      <c r="E167" s="148"/>
      <c r="F167" s="148"/>
      <c r="G167" s="148">
        <f t="shared" si="3"/>
        <v>0</v>
      </c>
      <c r="H167" s="149"/>
      <c r="I167" s="149"/>
      <c r="J167" s="148"/>
      <c r="L167" s="375"/>
      <c r="M167" s="375"/>
      <c r="N167" s="151"/>
      <c r="O167" s="152"/>
    </row>
    <row r="168" spans="1:15" ht="15.75" hidden="1" customHeight="1">
      <c r="A168" s="145" t="s">
        <v>1626</v>
      </c>
      <c r="B168" s="157" t="s">
        <v>1627</v>
      </c>
      <c r="C168" s="147" t="e">
        <f>E168+G168+#REF!</f>
        <v>#REF!</v>
      </c>
      <c r="D168" s="147"/>
      <c r="E168" s="148"/>
      <c r="F168" s="148"/>
      <c r="G168" s="148">
        <f t="shared" si="3"/>
        <v>0</v>
      </c>
      <c r="H168" s="149"/>
      <c r="I168" s="149"/>
      <c r="J168" s="148"/>
      <c r="L168" s="375"/>
      <c r="M168" s="375"/>
      <c r="N168" s="151"/>
      <c r="O168" s="152"/>
    </row>
    <row r="169" spans="1:15" ht="15.75" hidden="1" customHeight="1">
      <c r="A169" s="145" t="s">
        <v>1628</v>
      </c>
      <c r="B169" s="157" t="s">
        <v>1629</v>
      </c>
      <c r="C169" s="147" t="e">
        <f>E169+G169+#REF!</f>
        <v>#REF!</v>
      </c>
      <c r="D169" s="147"/>
      <c r="E169" s="148"/>
      <c r="F169" s="148"/>
      <c r="G169" s="148">
        <f t="shared" si="3"/>
        <v>0</v>
      </c>
      <c r="H169" s="149"/>
      <c r="I169" s="149"/>
      <c r="J169" s="148"/>
      <c r="L169" s="375"/>
      <c r="M169" s="375"/>
      <c r="N169" s="151"/>
      <c r="O169" s="152"/>
    </row>
    <row r="170" spans="1:15" ht="15.75" hidden="1" customHeight="1">
      <c r="A170" s="145" t="s">
        <v>1630</v>
      </c>
      <c r="B170" s="157" t="s">
        <v>1631</v>
      </c>
      <c r="C170" s="147" t="e">
        <f>E170+G170+#REF!</f>
        <v>#REF!</v>
      </c>
      <c r="D170" s="147"/>
      <c r="E170" s="148"/>
      <c r="F170" s="148"/>
      <c r="G170" s="148">
        <f t="shared" si="3"/>
        <v>0</v>
      </c>
      <c r="H170" s="149"/>
      <c r="I170" s="149"/>
      <c r="J170" s="148"/>
      <c r="L170" s="375"/>
      <c r="M170" s="375"/>
      <c r="N170" s="151"/>
      <c r="O170" s="152"/>
    </row>
    <row r="171" spans="1:15" ht="15.75" hidden="1" customHeight="1">
      <c r="A171" s="145" t="s">
        <v>1632</v>
      </c>
      <c r="B171" s="157" t="s">
        <v>1633</v>
      </c>
      <c r="C171" s="147" t="e">
        <f>E171+G171+#REF!</f>
        <v>#REF!</v>
      </c>
      <c r="D171" s="147"/>
      <c r="E171" s="148"/>
      <c r="F171" s="148"/>
      <c r="G171" s="148">
        <f t="shared" si="3"/>
        <v>0</v>
      </c>
      <c r="H171" s="149"/>
      <c r="I171" s="149"/>
      <c r="J171" s="148"/>
      <c r="L171" s="375"/>
      <c r="M171" s="375"/>
      <c r="N171" s="151"/>
      <c r="O171" s="152"/>
    </row>
    <row r="172" spans="1:15" ht="15.75" hidden="1" customHeight="1">
      <c r="A172" s="145" t="s">
        <v>1634</v>
      </c>
      <c r="B172" s="157" t="s">
        <v>1635</v>
      </c>
      <c r="C172" s="147" t="e">
        <f>E172+G172+#REF!</f>
        <v>#REF!</v>
      </c>
      <c r="D172" s="147"/>
      <c r="E172" s="148"/>
      <c r="F172" s="148"/>
      <c r="G172" s="148">
        <f t="shared" si="3"/>
        <v>0</v>
      </c>
      <c r="H172" s="149"/>
      <c r="I172" s="149"/>
      <c r="J172" s="148"/>
      <c r="L172" s="375"/>
      <c r="M172" s="375"/>
      <c r="N172" s="151"/>
      <c r="O172" s="152"/>
    </row>
    <row r="173" spans="1:15" ht="15.75" hidden="1" customHeight="1">
      <c r="A173" s="145" t="s">
        <v>1636</v>
      </c>
      <c r="B173" s="157" t="s">
        <v>1637</v>
      </c>
      <c r="C173" s="147"/>
      <c r="D173" s="147" t="e">
        <f>F173+J173+#REF!</f>
        <v>#REF!</v>
      </c>
      <c r="E173" s="148"/>
      <c r="F173" s="148"/>
      <c r="G173" s="158"/>
      <c r="H173" s="149"/>
      <c r="I173" s="149"/>
      <c r="J173" s="148">
        <f t="shared" ref="J173:J236" si="4">I173-H173</f>
        <v>0</v>
      </c>
      <c r="L173" s="375"/>
      <c r="M173" s="375"/>
      <c r="N173" s="151"/>
      <c r="O173" s="152"/>
    </row>
    <row r="174" spans="1:15" ht="15.75" hidden="1" customHeight="1">
      <c r="A174" s="145" t="s">
        <v>1638</v>
      </c>
      <c r="B174" s="157" t="s">
        <v>1639</v>
      </c>
      <c r="C174" s="147"/>
      <c r="D174" s="147" t="e">
        <f>F174+J174+#REF!</f>
        <v>#REF!</v>
      </c>
      <c r="E174" s="148"/>
      <c r="F174" s="148"/>
      <c r="G174" s="148"/>
      <c r="H174" s="149"/>
      <c r="I174" s="149"/>
      <c r="J174" s="148">
        <f t="shared" si="4"/>
        <v>0</v>
      </c>
      <c r="L174" s="375"/>
      <c r="M174" s="375"/>
      <c r="N174" s="151"/>
      <c r="O174" s="152"/>
    </row>
    <row r="175" spans="1:15" ht="15.75" customHeight="1">
      <c r="A175" s="145" t="s">
        <v>1640</v>
      </c>
      <c r="B175" s="157" t="s">
        <v>1641</v>
      </c>
      <c r="C175" s="147"/>
      <c r="D175" s="147" t="e">
        <f>F175+J175+#REF!</f>
        <v>#REF!</v>
      </c>
      <c r="E175" s="148"/>
      <c r="F175" s="148"/>
      <c r="G175" s="148"/>
      <c r="H175" s="149">
        <f>985</f>
        <v>985</v>
      </c>
      <c r="I175" s="149"/>
      <c r="J175" s="148">
        <f t="shared" si="4"/>
        <v>-985</v>
      </c>
      <c r="L175" s="375"/>
      <c r="M175" s="375"/>
      <c r="N175" s="151"/>
      <c r="O175" s="152"/>
    </row>
    <row r="176" spans="1:15" ht="15.75" hidden="1" customHeight="1">
      <c r="A176" s="145" t="s">
        <v>1642</v>
      </c>
      <c r="B176" s="157" t="s">
        <v>1643</v>
      </c>
      <c r="C176" s="147"/>
      <c r="D176" s="147" t="e">
        <f>F176+J176+#REF!</f>
        <v>#REF!</v>
      </c>
      <c r="E176" s="148"/>
      <c r="F176" s="148"/>
      <c r="G176" s="148"/>
      <c r="H176" s="149"/>
      <c r="I176" s="149"/>
      <c r="J176" s="148">
        <f t="shared" si="4"/>
        <v>0</v>
      </c>
      <c r="L176" s="375"/>
      <c r="M176" s="375"/>
      <c r="N176" s="151"/>
      <c r="O176" s="152"/>
    </row>
    <row r="177" spans="1:15" ht="15.75" customHeight="1">
      <c r="A177" s="145" t="s">
        <v>1644</v>
      </c>
      <c r="B177" s="157" t="s">
        <v>1645</v>
      </c>
      <c r="C177" s="147"/>
      <c r="D177" s="147" t="e">
        <f>F177+J177+#REF!</f>
        <v>#REF!</v>
      </c>
      <c r="E177" s="148"/>
      <c r="F177" s="148"/>
      <c r="G177" s="154"/>
      <c r="H177" s="149">
        <v>291950.57</v>
      </c>
      <c r="I177" s="149">
        <f>223438.74+4383.92+63972.4</f>
        <v>291795.06</v>
      </c>
      <c r="J177" s="148">
        <f t="shared" si="4"/>
        <v>-155.51000000000931</v>
      </c>
      <c r="L177" s="378">
        <v>291950.57</v>
      </c>
      <c r="M177" s="375"/>
      <c r="N177" s="151"/>
      <c r="O177" s="152"/>
    </row>
    <row r="178" spans="1:15" ht="15.75" customHeight="1">
      <c r="A178" s="145" t="s">
        <v>1646</v>
      </c>
      <c r="B178" s="157" t="s">
        <v>1647</v>
      </c>
      <c r="C178" s="147"/>
      <c r="D178" s="147" t="e">
        <f>F178+J178+#REF!</f>
        <v>#REF!</v>
      </c>
      <c r="E178" s="148"/>
      <c r="F178" s="148"/>
      <c r="G178" s="148"/>
      <c r="H178" s="149">
        <v>11197.34</v>
      </c>
      <c r="I178" s="149">
        <f>4340.16</f>
        <v>4340.16</v>
      </c>
      <c r="J178" s="148">
        <f t="shared" si="4"/>
        <v>-6857.18</v>
      </c>
      <c r="L178" s="378">
        <v>11197.34</v>
      </c>
      <c r="M178" s="375"/>
      <c r="N178" s="151"/>
      <c r="O178" s="152"/>
    </row>
    <row r="179" spans="1:15" ht="15.75" customHeight="1">
      <c r="A179" s="145" t="s">
        <v>834</v>
      </c>
      <c r="B179" s="157" t="s">
        <v>835</v>
      </c>
      <c r="C179" s="147"/>
      <c r="D179" s="147" t="e">
        <f>F179+J179+#REF!</f>
        <v>#REF!</v>
      </c>
      <c r="E179" s="148"/>
      <c r="F179" s="148"/>
      <c r="G179" s="148"/>
      <c r="H179" s="149">
        <v>45749.63</v>
      </c>
      <c r="I179" s="149">
        <f>18598.81</f>
        <v>18598.810000000001</v>
      </c>
      <c r="J179" s="148">
        <f t="shared" si="4"/>
        <v>-27150.819999999996</v>
      </c>
      <c r="L179" s="378">
        <v>45749.63</v>
      </c>
      <c r="M179" s="375"/>
      <c r="N179" s="151"/>
      <c r="O179" s="152"/>
    </row>
    <row r="180" spans="1:15" ht="15.75" customHeight="1">
      <c r="A180" s="145" t="s">
        <v>836</v>
      </c>
      <c r="B180" s="157" t="s">
        <v>837</v>
      </c>
      <c r="C180" s="147"/>
      <c r="D180" s="147" t="e">
        <f>F180+J180+#REF!</f>
        <v>#REF!</v>
      </c>
      <c r="E180" s="148"/>
      <c r="F180" s="148"/>
      <c r="G180" s="148"/>
      <c r="H180" s="149">
        <v>14475</v>
      </c>
      <c r="I180" s="149">
        <f>5025</f>
        <v>5025</v>
      </c>
      <c r="J180" s="148">
        <f t="shared" si="4"/>
        <v>-9450</v>
      </c>
      <c r="L180" s="378">
        <v>14475</v>
      </c>
      <c r="M180" s="375"/>
      <c r="N180" s="151"/>
      <c r="O180" s="152"/>
    </row>
    <row r="181" spans="1:15" ht="15.75" customHeight="1">
      <c r="A181" s="145" t="s">
        <v>838</v>
      </c>
      <c r="B181" s="157" t="s">
        <v>839</v>
      </c>
      <c r="C181" s="147"/>
      <c r="D181" s="147" t="e">
        <f>F181+J181+#REF!</f>
        <v>#REF!</v>
      </c>
      <c r="E181" s="148"/>
      <c r="F181" s="148"/>
      <c r="G181" s="148"/>
      <c r="H181" s="149">
        <f>444997.3+2095977.23</f>
        <v>2540974.5299999998</v>
      </c>
      <c r="I181" s="149">
        <f>3374923.02+15352900</f>
        <v>18727823.02</v>
      </c>
      <c r="J181" s="148">
        <f t="shared" si="4"/>
        <v>16186848.49</v>
      </c>
      <c r="L181" s="378">
        <f>2082639.21+8600+405571.82</f>
        <v>2496811.0299999998</v>
      </c>
      <c r="M181" s="403">
        <f>3374923.02+2000000+12500000+852900</f>
        <v>18727823.02</v>
      </c>
      <c r="N181" s="151"/>
      <c r="O181" s="152"/>
    </row>
    <row r="182" spans="1:15" ht="15.75" hidden="1" customHeight="1">
      <c r="A182" s="145" t="s">
        <v>840</v>
      </c>
      <c r="B182" s="157" t="s">
        <v>841</v>
      </c>
      <c r="C182" s="147"/>
      <c r="D182" s="147" t="e">
        <f>F182+J182+#REF!</f>
        <v>#REF!</v>
      </c>
      <c r="E182" s="148"/>
      <c r="F182" s="148"/>
      <c r="G182" s="148">
        <f>H182-I182</f>
        <v>0</v>
      </c>
      <c r="H182" s="149"/>
      <c r="I182" s="149"/>
      <c r="J182" s="148"/>
      <c r="L182" s="375"/>
      <c r="M182" s="375"/>
      <c r="N182" s="151"/>
      <c r="O182" s="152"/>
    </row>
    <row r="183" spans="1:15" ht="15.75" customHeight="1">
      <c r="A183" s="145" t="s">
        <v>2354</v>
      </c>
      <c r="B183" s="157" t="s">
        <v>850</v>
      </c>
      <c r="C183" s="147"/>
      <c r="D183" s="147" t="e">
        <f>F183+J183+#REF!</f>
        <v>#REF!</v>
      </c>
      <c r="E183" s="148"/>
      <c r="F183" s="148"/>
      <c r="G183" s="148"/>
      <c r="H183" s="149"/>
      <c r="I183" s="149"/>
      <c r="J183" s="148">
        <f t="shared" si="4"/>
        <v>0</v>
      </c>
      <c r="L183" s="375"/>
      <c r="M183" s="375"/>
      <c r="N183" s="151"/>
      <c r="O183" s="152"/>
    </row>
    <row r="184" spans="1:15" ht="15.75" customHeight="1">
      <c r="A184" s="145" t="s">
        <v>851</v>
      </c>
      <c r="B184" s="157" t="s">
        <v>852</v>
      </c>
      <c r="C184" s="147"/>
      <c r="D184" s="147" t="e">
        <f>F184+J184+#REF!</f>
        <v>#REF!</v>
      </c>
      <c r="E184" s="148"/>
      <c r="F184" s="148"/>
      <c r="G184" s="148"/>
      <c r="H184" s="149">
        <f>201715.24</f>
        <v>201715.24</v>
      </c>
      <c r="I184" s="149">
        <f>831577.99</f>
        <v>831577.99</v>
      </c>
      <c r="J184" s="148">
        <f t="shared" si="4"/>
        <v>629862.75</v>
      </c>
      <c r="L184" s="378">
        <v>201715.24</v>
      </c>
      <c r="M184" s="403">
        <v>831577.99</v>
      </c>
      <c r="N184" s="151"/>
      <c r="O184" s="152"/>
    </row>
    <row r="185" spans="1:15" ht="15.75" customHeight="1">
      <c r="A185" s="145" t="s">
        <v>853</v>
      </c>
      <c r="B185" s="157" t="s">
        <v>854</v>
      </c>
      <c r="C185" s="147"/>
      <c r="D185" s="147" t="e">
        <f>F185+J185+#REF!</f>
        <v>#REF!</v>
      </c>
      <c r="E185" s="148"/>
      <c r="F185" s="148"/>
      <c r="G185" s="148"/>
      <c r="H185" s="149"/>
      <c r="I185" s="149"/>
      <c r="J185" s="148">
        <f t="shared" si="4"/>
        <v>0</v>
      </c>
      <c r="L185" s="375"/>
      <c r="M185" s="375"/>
      <c r="N185" s="151"/>
      <c r="O185" s="152"/>
    </row>
    <row r="186" spans="1:15" ht="15.75" customHeight="1">
      <c r="A186" s="145" t="s">
        <v>855</v>
      </c>
      <c r="B186" s="157" t="s">
        <v>856</v>
      </c>
      <c r="C186" s="147"/>
      <c r="D186" s="147" t="e">
        <f>F186+J186+#REF!</f>
        <v>#REF!</v>
      </c>
      <c r="E186" s="148"/>
      <c r="F186" s="148"/>
      <c r="G186" s="148"/>
      <c r="H186" s="149">
        <v>2200</v>
      </c>
      <c r="I186" s="149">
        <f>50700</f>
        <v>50700</v>
      </c>
      <c r="J186" s="148">
        <f t="shared" si="4"/>
        <v>48500</v>
      </c>
      <c r="L186" s="378">
        <v>2200</v>
      </c>
      <c r="M186" s="403">
        <v>50700</v>
      </c>
      <c r="N186" s="151"/>
      <c r="O186" s="152"/>
    </row>
    <row r="187" spans="1:15" ht="15.75" hidden="1" customHeight="1">
      <c r="A187" s="145" t="s">
        <v>857</v>
      </c>
      <c r="B187" s="157" t="s">
        <v>858</v>
      </c>
      <c r="C187" s="147"/>
      <c r="D187" s="147" t="e">
        <f>F187+J187+#REF!</f>
        <v>#REF!</v>
      </c>
      <c r="E187" s="148"/>
      <c r="F187" s="148"/>
      <c r="G187" s="148"/>
      <c r="H187" s="149"/>
      <c r="I187" s="149"/>
      <c r="J187" s="148">
        <f t="shared" si="4"/>
        <v>0</v>
      </c>
      <c r="L187" s="378"/>
      <c r="M187" s="375"/>
      <c r="N187" s="151"/>
      <c r="O187" s="152"/>
    </row>
    <row r="188" spans="1:15" ht="15.75" hidden="1" customHeight="1">
      <c r="A188" s="145" t="s">
        <v>859</v>
      </c>
      <c r="B188" s="157" t="s">
        <v>860</v>
      </c>
      <c r="C188" s="147"/>
      <c r="D188" s="147" t="e">
        <f>F188+J188+#REF!</f>
        <v>#REF!</v>
      </c>
      <c r="E188" s="148"/>
      <c r="F188" s="148"/>
      <c r="G188" s="148"/>
      <c r="H188" s="149"/>
      <c r="I188" s="149"/>
      <c r="J188" s="148">
        <f t="shared" si="4"/>
        <v>0</v>
      </c>
      <c r="L188" s="378"/>
      <c r="M188" s="375"/>
      <c r="N188" s="151"/>
      <c r="O188" s="152"/>
    </row>
    <row r="189" spans="1:15" ht="15.75" customHeight="1">
      <c r="A189" s="145" t="s">
        <v>861</v>
      </c>
      <c r="B189" s="157" t="s">
        <v>862</v>
      </c>
      <c r="C189" s="147"/>
      <c r="D189" s="147" t="e">
        <f>F189+J189+#REF!</f>
        <v>#REF!</v>
      </c>
      <c r="E189" s="148"/>
      <c r="F189" s="148"/>
      <c r="G189" s="148"/>
      <c r="H189" s="149">
        <f>630630+3708209.83+80000+116647.19</f>
        <v>4535487.0200000005</v>
      </c>
      <c r="I189" s="149">
        <f>4335828.43+1525</f>
        <v>4337353.43</v>
      </c>
      <c r="J189" s="148">
        <f t="shared" si="4"/>
        <v>-198133.59000000078</v>
      </c>
      <c r="L189" s="378">
        <f>3625606.98+29362.91+84236.87</f>
        <v>3739206.7600000002</v>
      </c>
      <c r="M189" s="403">
        <v>4334843.43</v>
      </c>
      <c r="N189" s="151"/>
      <c r="O189" s="152"/>
    </row>
    <row r="190" spans="1:15" ht="15.75" hidden="1" customHeight="1">
      <c r="A190" s="145" t="s">
        <v>863</v>
      </c>
      <c r="B190" s="157" t="s">
        <v>864</v>
      </c>
      <c r="C190" s="147"/>
      <c r="D190" s="147" t="e">
        <f>F190+J190+#REF!</f>
        <v>#REF!</v>
      </c>
      <c r="E190" s="148"/>
      <c r="F190" s="148"/>
      <c r="G190" s="148"/>
      <c r="H190" s="149"/>
      <c r="I190" s="149"/>
      <c r="J190" s="148">
        <f t="shared" si="4"/>
        <v>0</v>
      </c>
      <c r="L190" s="376"/>
      <c r="M190" s="376"/>
    </row>
    <row r="191" spans="1:15" ht="15.75" hidden="1" customHeight="1">
      <c r="A191" s="145" t="s">
        <v>865</v>
      </c>
      <c r="B191" s="157" t="s">
        <v>866</v>
      </c>
      <c r="C191" s="147"/>
      <c r="D191" s="147" t="e">
        <f>F191+J191+#REF!</f>
        <v>#REF!</v>
      </c>
      <c r="E191" s="148"/>
      <c r="F191" s="148"/>
      <c r="G191" s="148"/>
      <c r="H191" s="149"/>
      <c r="I191" s="149"/>
      <c r="J191" s="148">
        <f t="shared" si="4"/>
        <v>0</v>
      </c>
      <c r="L191" s="376"/>
      <c r="M191" s="376"/>
    </row>
    <row r="192" spans="1:15" ht="15.75" hidden="1" customHeight="1">
      <c r="A192" s="145" t="s">
        <v>867</v>
      </c>
      <c r="B192" s="157" t="s">
        <v>868</v>
      </c>
      <c r="C192" s="147"/>
      <c r="D192" s="147" t="e">
        <f>F192+J192+#REF!</f>
        <v>#REF!</v>
      </c>
      <c r="E192" s="148"/>
      <c r="F192" s="148"/>
      <c r="G192" s="148"/>
      <c r="H192" s="149"/>
      <c r="I192" s="149"/>
      <c r="J192" s="148">
        <f t="shared" si="4"/>
        <v>0</v>
      </c>
      <c r="L192" s="376"/>
      <c r="M192" s="376"/>
    </row>
    <row r="193" spans="1:13" ht="15.75" hidden="1" customHeight="1">
      <c r="A193" s="145" t="s">
        <v>869</v>
      </c>
      <c r="B193" s="157" t="s">
        <v>870</v>
      </c>
      <c r="C193" s="147"/>
      <c r="D193" s="147" t="e">
        <f>F193+J193+#REF!</f>
        <v>#REF!</v>
      </c>
      <c r="E193" s="148"/>
      <c r="F193" s="148"/>
      <c r="G193" s="148"/>
      <c r="H193" s="149"/>
      <c r="I193" s="149"/>
      <c r="J193" s="148">
        <f t="shared" si="4"/>
        <v>0</v>
      </c>
      <c r="L193" s="376"/>
      <c r="M193" s="376"/>
    </row>
    <row r="194" spans="1:13" ht="15.75" hidden="1" customHeight="1">
      <c r="A194" s="145" t="s">
        <v>871</v>
      </c>
      <c r="B194" s="157" t="s">
        <v>872</v>
      </c>
      <c r="C194" s="147"/>
      <c r="D194" s="147" t="e">
        <f>F194+J194+#REF!</f>
        <v>#REF!</v>
      </c>
      <c r="E194" s="148"/>
      <c r="F194" s="148"/>
      <c r="G194" s="148"/>
      <c r="H194" s="149"/>
      <c r="I194" s="149"/>
      <c r="J194" s="148">
        <f t="shared" si="4"/>
        <v>0</v>
      </c>
      <c r="L194" s="376"/>
      <c r="M194" s="376"/>
    </row>
    <row r="195" spans="1:13" ht="15.75" hidden="1" customHeight="1">
      <c r="A195" s="145" t="s">
        <v>873</v>
      </c>
      <c r="B195" s="157" t="s">
        <v>874</v>
      </c>
      <c r="C195" s="147"/>
      <c r="D195" s="147" t="e">
        <f>F195+J195+#REF!</f>
        <v>#REF!</v>
      </c>
      <c r="E195" s="148"/>
      <c r="F195" s="148"/>
      <c r="G195" s="148"/>
      <c r="H195" s="149"/>
      <c r="I195" s="149"/>
      <c r="J195" s="148">
        <f t="shared" si="4"/>
        <v>0</v>
      </c>
      <c r="L195" s="376"/>
      <c r="M195" s="376"/>
    </row>
    <row r="196" spans="1:13" ht="15.75" hidden="1" customHeight="1">
      <c r="A196" s="145" t="s">
        <v>1540</v>
      </c>
      <c r="B196" s="157" t="s">
        <v>1541</v>
      </c>
      <c r="C196" s="147"/>
      <c r="D196" s="147" t="e">
        <f>F196+J196+#REF!</f>
        <v>#REF!</v>
      </c>
      <c r="E196" s="148"/>
      <c r="F196" s="148"/>
      <c r="G196" s="148"/>
      <c r="H196" s="149"/>
      <c r="I196" s="149"/>
      <c r="J196" s="148">
        <f t="shared" si="4"/>
        <v>0</v>
      </c>
      <c r="L196" s="376"/>
      <c r="M196" s="376"/>
    </row>
    <row r="197" spans="1:13" ht="15.75" hidden="1" customHeight="1">
      <c r="A197" s="145" t="s">
        <v>1542</v>
      </c>
      <c r="B197" s="157" t="s">
        <v>1543</v>
      </c>
      <c r="C197" s="147"/>
      <c r="D197" s="147" t="e">
        <f>F197+J197+#REF!</f>
        <v>#REF!</v>
      </c>
      <c r="E197" s="148"/>
      <c r="F197" s="148"/>
      <c r="G197" s="148"/>
      <c r="H197" s="149"/>
      <c r="I197" s="149"/>
      <c r="J197" s="148">
        <f t="shared" si="4"/>
        <v>0</v>
      </c>
      <c r="L197" s="376"/>
      <c r="M197" s="376"/>
    </row>
    <row r="198" spans="1:13" ht="15.75" hidden="1" customHeight="1">
      <c r="A198" s="145" t="s">
        <v>1544</v>
      </c>
      <c r="B198" s="157" t="s">
        <v>1545</v>
      </c>
      <c r="C198" s="147"/>
      <c r="D198" s="147" t="e">
        <f>F198+J198+#REF!</f>
        <v>#REF!</v>
      </c>
      <c r="E198" s="148"/>
      <c r="F198" s="148"/>
      <c r="G198" s="148"/>
      <c r="H198" s="149"/>
      <c r="I198" s="149"/>
      <c r="J198" s="148">
        <f t="shared" si="4"/>
        <v>0</v>
      </c>
      <c r="L198" s="376"/>
      <c r="M198" s="376"/>
    </row>
    <row r="199" spans="1:13" ht="15.75" hidden="1" customHeight="1">
      <c r="A199" s="145" t="s">
        <v>1546</v>
      </c>
      <c r="B199" s="157" t="s">
        <v>1547</v>
      </c>
      <c r="C199" s="147"/>
      <c r="D199" s="147" t="e">
        <f>F199+J199+#REF!</f>
        <v>#REF!</v>
      </c>
      <c r="E199" s="148"/>
      <c r="F199" s="148"/>
      <c r="G199" s="148"/>
      <c r="H199" s="149"/>
      <c r="I199" s="149"/>
      <c r="J199" s="148">
        <f t="shared" si="4"/>
        <v>0</v>
      </c>
      <c r="L199" s="376"/>
      <c r="M199" s="376"/>
    </row>
    <row r="200" spans="1:13" ht="15.75" hidden="1" customHeight="1">
      <c r="A200" s="145" t="s">
        <v>1548</v>
      </c>
      <c r="B200" s="157" t="s">
        <v>1549</v>
      </c>
      <c r="C200" s="147"/>
      <c r="D200" s="147" t="e">
        <f>F200+J200+#REF!</f>
        <v>#REF!</v>
      </c>
      <c r="E200" s="148"/>
      <c r="F200" s="148"/>
      <c r="G200" s="148"/>
      <c r="H200" s="149"/>
      <c r="I200" s="149"/>
      <c r="J200" s="148">
        <f t="shared" si="4"/>
        <v>0</v>
      </c>
      <c r="L200" s="376"/>
      <c r="M200" s="376"/>
    </row>
    <row r="201" spans="1:13" ht="15.75" hidden="1" customHeight="1">
      <c r="A201" s="145" t="s">
        <v>1550</v>
      </c>
      <c r="B201" s="157" t="s">
        <v>1551</v>
      </c>
      <c r="C201" s="147"/>
      <c r="D201" s="147" t="e">
        <f>F201+J201+#REF!</f>
        <v>#REF!</v>
      </c>
      <c r="E201" s="148"/>
      <c r="F201" s="148"/>
      <c r="G201" s="148"/>
      <c r="H201" s="149"/>
      <c r="I201" s="149"/>
      <c r="J201" s="148">
        <f t="shared" si="4"/>
        <v>0</v>
      </c>
      <c r="L201" s="376"/>
      <c r="M201" s="376"/>
    </row>
    <row r="202" spans="1:13" ht="15.75" hidden="1" customHeight="1">
      <c r="A202" s="145" t="s">
        <v>1552</v>
      </c>
      <c r="B202" s="157" t="s">
        <v>1553</v>
      </c>
      <c r="C202" s="147"/>
      <c r="D202" s="147" t="e">
        <f>F202+J202+#REF!</f>
        <v>#REF!</v>
      </c>
      <c r="E202" s="148"/>
      <c r="F202" s="148"/>
      <c r="G202" s="148"/>
      <c r="H202" s="149"/>
      <c r="I202" s="149"/>
      <c r="J202" s="148">
        <f t="shared" si="4"/>
        <v>0</v>
      </c>
      <c r="L202" s="376"/>
      <c r="M202" s="376"/>
    </row>
    <row r="203" spans="1:13" ht="15.75" hidden="1" customHeight="1">
      <c r="A203" s="145" t="s">
        <v>1554</v>
      </c>
      <c r="B203" s="157" t="s">
        <v>1555</v>
      </c>
      <c r="C203" s="147"/>
      <c r="D203" s="147" t="e">
        <f>F203+J203+#REF!</f>
        <v>#REF!</v>
      </c>
      <c r="E203" s="148"/>
      <c r="F203" s="148"/>
      <c r="G203" s="148"/>
      <c r="H203" s="149"/>
      <c r="I203" s="149"/>
      <c r="J203" s="148">
        <f t="shared" si="4"/>
        <v>0</v>
      </c>
      <c r="L203" s="376"/>
      <c r="M203" s="376"/>
    </row>
    <row r="204" spans="1:13" ht="15.75" hidden="1" customHeight="1">
      <c r="A204" s="145" t="s">
        <v>1556</v>
      </c>
      <c r="B204" s="157" t="s">
        <v>1557</v>
      </c>
      <c r="C204" s="147"/>
      <c r="D204" s="147"/>
      <c r="E204" s="148"/>
      <c r="F204" s="148"/>
      <c r="G204" s="148"/>
      <c r="H204" s="149"/>
      <c r="I204" s="149"/>
      <c r="J204" s="148">
        <f t="shared" si="4"/>
        <v>0</v>
      </c>
      <c r="L204" s="376"/>
      <c r="M204" s="376"/>
    </row>
    <row r="205" spans="1:13" ht="15.75" hidden="1" customHeight="1">
      <c r="A205" s="145" t="s">
        <v>1558</v>
      </c>
      <c r="B205" s="157" t="s">
        <v>1559</v>
      </c>
      <c r="C205" s="147"/>
      <c r="D205" s="147" t="e">
        <f>F205+J205+#REF!</f>
        <v>#REF!</v>
      </c>
      <c r="E205" s="148"/>
      <c r="F205" s="148"/>
      <c r="G205" s="148"/>
      <c r="H205" s="149"/>
      <c r="I205" s="149"/>
      <c r="J205" s="148">
        <f t="shared" si="4"/>
        <v>0</v>
      </c>
      <c r="L205" s="376"/>
      <c r="M205" s="376"/>
    </row>
    <row r="206" spans="1:13" ht="15.75" hidden="1" customHeight="1">
      <c r="A206" s="145" t="s">
        <v>1560</v>
      </c>
      <c r="B206" s="157" t="s">
        <v>1561</v>
      </c>
      <c r="C206" s="147"/>
      <c r="D206" s="147" t="e">
        <f>F206+J206+#REF!</f>
        <v>#REF!</v>
      </c>
      <c r="E206" s="148"/>
      <c r="F206" s="148"/>
      <c r="G206" s="148"/>
      <c r="H206" s="149"/>
      <c r="I206" s="149"/>
      <c r="J206" s="148">
        <f t="shared" si="4"/>
        <v>0</v>
      </c>
      <c r="L206" s="376"/>
      <c r="M206" s="376"/>
    </row>
    <row r="207" spans="1:13" ht="15.75" hidden="1" customHeight="1">
      <c r="A207" s="145" t="s">
        <v>1562</v>
      </c>
      <c r="B207" s="157" t="s">
        <v>1563</v>
      </c>
      <c r="C207" s="147"/>
      <c r="D207" s="147" t="e">
        <f>F207+J207+#REF!</f>
        <v>#REF!</v>
      </c>
      <c r="E207" s="148"/>
      <c r="F207" s="148"/>
      <c r="G207" s="148"/>
      <c r="H207" s="149"/>
      <c r="I207" s="149"/>
      <c r="J207" s="148">
        <f t="shared" si="4"/>
        <v>0</v>
      </c>
      <c r="L207" s="376"/>
      <c r="M207" s="376"/>
    </row>
    <row r="208" spans="1:13" ht="15.75" hidden="1" customHeight="1">
      <c r="A208" s="145" t="s">
        <v>1564</v>
      </c>
      <c r="B208" s="157" t="s">
        <v>1565</v>
      </c>
      <c r="C208" s="147"/>
      <c r="D208" s="147" t="e">
        <f>F208+J208+#REF!</f>
        <v>#REF!</v>
      </c>
      <c r="E208" s="148"/>
      <c r="F208" s="148"/>
      <c r="G208" s="148"/>
      <c r="H208" s="149"/>
      <c r="I208" s="149"/>
      <c r="J208" s="148">
        <f t="shared" si="4"/>
        <v>0</v>
      </c>
      <c r="L208" s="376"/>
      <c r="M208" s="376"/>
    </row>
    <row r="209" spans="1:13" ht="15.75" hidden="1" customHeight="1">
      <c r="A209" s="145" t="s">
        <v>2133</v>
      </c>
      <c r="B209" s="157" t="s">
        <v>2134</v>
      </c>
      <c r="C209" s="147"/>
      <c r="D209" s="147" t="e">
        <f>F209+J209+#REF!</f>
        <v>#REF!</v>
      </c>
      <c r="E209" s="148"/>
      <c r="F209" s="148"/>
      <c r="G209" s="148"/>
      <c r="H209" s="149"/>
      <c r="I209" s="149"/>
      <c r="J209" s="148">
        <f t="shared" si="4"/>
        <v>0</v>
      </c>
      <c r="L209" s="376"/>
      <c r="M209" s="376"/>
    </row>
    <row r="210" spans="1:13" ht="15.75" hidden="1" customHeight="1">
      <c r="A210" s="145" t="s">
        <v>2135</v>
      </c>
      <c r="B210" s="157" t="s">
        <v>2136</v>
      </c>
      <c r="C210" s="147"/>
      <c r="D210" s="147" t="e">
        <f>F210+J210+#REF!</f>
        <v>#REF!</v>
      </c>
      <c r="E210" s="148"/>
      <c r="F210" s="148"/>
      <c r="G210" s="148"/>
      <c r="H210" s="149"/>
      <c r="I210" s="149"/>
      <c r="J210" s="148">
        <f t="shared" si="4"/>
        <v>0</v>
      </c>
      <c r="L210" s="376"/>
      <c r="M210" s="376"/>
    </row>
    <row r="211" spans="1:13" ht="15.75" hidden="1" customHeight="1">
      <c r="A211" s="145" t="s">
        <v>2137</v>
      </c>
      <c r="B211" s="157" t="s">
        <v>2138</v>
      </c>
      <c r="C211" s="147"/>
      <c r="D211" s="147" t="e">
        <f>F211+J211+#REF!</f>
        <v>#REF!</v>
      </c>
      <c r="E211" s="148"/>
      <c r="F211" s="148"/>
      <c r="G211" s="148"/>
      <c r="H211" s="149"/>
      <c r="I211" s="149"/>
      <c r="J211" s="148">
        <f t="shared" si="4"/>
        <v>0</v>
      </c>
      <c r="L211" s="376"/>
      <c r="M211" s="376"/>
    </row>
    <row r="212" spans="1:13" ht="15.75" hidden="1" customHeight="1">
      <c r="A212" s="145" t="s">
        <v>2139</v>
      </c>
      <c r="B212" s="157" t="s">
        <v>2140</v>
      </c>
      <c r="C212" s="147"/>
      <c r="D212" s="147" t="e">
        <f>F212+J212+#REF!</f>
        <v>#REF!</v>
      </c>
      <c r="E212" s="148"/>
      <c r="F212" s="148"/>
      <c r="G212" s="148"/>
      <c r="H212" s="149"/>
      <c r="I212" s="149"/>
      <c r="J212" s="148">
        <f t="shared" si="4"/>
        <v>0</v>
      </c>
      <c r="L212" s="376"/>
      <c r="M212" s="376"/>
    </row>
    <row r="213" spans="1:13" ht="14.25" hidden="1">
      <c r="A213" s="145" t="s">
        <v>2141</v>
      </c>
      <c r="B213" s="157" t="s">
        <v>2142</v>
      </c>
      <c r="C213" s="147"/>
      <c r="D213" s="147" t="e">
        <f>F213+J213+#REF!</f>
        <v>#REF!</v>
      </c>
      <c r="E213" s="148"/>
      <c r="F213" s="148"/>
      <c r="G213" s="148"/>
      <c r="H213" s="149"/>
      <c r="I213" s="149"/>
      <c r="J213" s="148">
        <f t="shared" si="4"/>
        <v>0</v>
      </c>
      <c r="L213" s="376"/>
      <c r="M213" s="376"/>
    </row>
    <row r="214" spans="1:13" ht="15.75" hidden="1" customHeight="1">
      <c r="A214" s="145" t="s">
        <v>2143</v>
      </c>
      <c r="B214" s="157" t="s">
        <v>2144</v>
      </c>
      <c r="C214" s="147"/>
      <c r="D214" s="147" t="e">
        <f>F214+J214+#REF!</f>
        <v>#REF!</v>
      </c>
      <c r="E214" s="148"/>
      <c r="F214" s="148"/>
      <c r="G214" s="148"/>
      <c r="H214" s="149"/>
      <c r="I214" s="149"/>
      <c r="J214" s="148">
        <f t="shared" si="4"/>
        <v>0</v>
      </c>
      <c r="L214" s="376"/>
      <c r="M214" s="376"/>
    </row>
    <row r="215" spans="1:13" ht="15.75" hidden="1" customHeight="1">
      <c r="A215" s="145" t="s">
        <v>2145</v>
      </c>
      <c r="B215" s="157" t="s">
        <v>2146</v>
      </c>
      <c r="C215" s="147"/>
      <c r="D215" s="147" t="e">
        <f>F215+J215+#REF!</f>
        <v>#REF!</v>
      </c>
      <c r="E215" s="148"/>
      <c r="F215" s="148"/>
      <c r="G215" s="148"/>
      <c r="H215" s="149"/>
      <c r="I215" s="149"/>
      <c r="J215" s="148">
        <f t="shared" si="4"/>
        <v>0</v>
      </c>
      <c r="L215" s="376"/>
      <c r="M215" s="376"/>
    </row>
    <row r="216" spans="1:13" ht="15.75" hidden="1" customHeight="1">
      <c r="A216" s="145" t="s">
        <v>2147</v>
      </c>
      <c r="B216" s="157" t="s">
        <v>2148</v>
      </c>
      <c r="C216" s="147"/>
      <c r="D216" s="147" t="e">
        <f>F216+J216+#REF!</f>
        <v>#REF!</v>
      </c>
      <c r="E216" s="148"/>
      <c r="F216" s="148"/>
      <c r="G216" s="148"/>
      <c r="H216" s="149"/>
      <c r="I216" s="149"/>
      <c r="J216" s="148">
        <f t="shared" si="4"/>
        <v>0</v>
      </c>
      <c r="L216" s="376"/>
      <c r="M216" s="376"/>
    </row>
    <row r="217" spans="1:13" ht="15.75" hidden="1" customHeight="1">
      <c r="A217" s="145" t="s">
        <v>2149</v>
      </c>
      <c r="B217" s="157" t="s">
        <v>2150</v>
      </c>
      <c r="C217" s="147"/>
      <c r="D217" s="147" t="e">
        <f>F217+J217+#REF!</f>
        <v>#REF!</v>
      </c>
      <c r="E217" s="148"/>
      <c r="F217" s="148"/>
      <c r="G217" s="148"/>
      <c r="H217" s="149"/>
      <c r="I217" s="149"/>
      <c r="J217" s="148">
        <f t="shared" si="4"/>
        <v>0</v>
      </c>
      <c r="L217" s="376"/>
      <c r="M217" s="376"/>
    </row>
    <row r="218" spans="1:13" ht="15.75" hidden="1" customHeight="1">
      <c r="A218" s="145" t="s">
        <v>2151</v>
      </c>
      <c r="B218" s="157" t="s">
        <v>2152</v>
      </c>
      <c r="C218" s="147"/>
      <c r="D218" s="147" t="e">
        <f>F218+J218+#REF!</f>
        <v>#REF!</v>
      </c>
      <c r="E218" s="148"/>
      <c r="F218" s="148"/>
      <c r="G218" s="148"/>
      <c r="H218" s="149"/>
      <c r="I218" s="149"/>
      <c r="J218" s="148">
        <f t="shared" si="4"/>
        <v>0</v>
      </c>
      <c r="L218" s="376"/>
      <c r="M218" s="376"/>
    </row>
    <row r="219" spans="1:13" ht="15.75" hidden="1" customHeight="1">
      <c r="A219" s="145" t="s">
        <v>2153</v>
      </c>
      <c r="B219" s="157" t="s">
        <v>2154</v>
      </c>
      <c r="C219" s="147"/>
      <c r="D219" s="147" t="e">
        <f>F219+J219+#REF!</f>
        <v>#REF!</v>
      </c>
      <c r="E219" s="148"/>
      <c r="F219" s="148"/>
      <c r="G219" s="148"/>
      <c r="H219" s="149"/>
      <c r="I219" s="149"/>
      <c r="J219" s="148">
        <f t="shared" si="4"/>
        <v>0</v>
      </c>
      <c r="L219" s="376"/>
      <c r="M219" s="376"/>
    </row>
    <row r="220" spans="1:13" ht="15.75" hidden="1" customHeight="1">
      <c r="A220" s="145" t="s">
        <v>2155</v>
      </c>
      <c r="B220" s="157" t="s">
        <v>2156</v>
      </c>
      <c r="C220" s="147"/>
      <c r="D220" s="147" t="e">
        <f>F220+J220+#REF!</f>
        <v>#REF!</v>
      </c>
      <c r="E220" s="148"/>
      <c r="F220" s="148"/>
      <c r="G220" s="148"/>
      <c r="H220" s="149"/>
      <c r="I220" s="149"/>
      <c r="J220" s="148">
        <f t="shared" si="4"/>
        <v>0</v>
      </c>
      <c r="L220" s="376"/>
      <c r="M220" s="376"/>
    </row>
    <row r="221" spans="1:13" ht="15.75" hidden="1" customHeight="1">
      <c r="A221" s="145" t="s">
        <v>2157</v>
      </c>
      <c r="B221" s="157" t="s">
        <v>2158</v>
      </c>
      <c r="C221" s="147"/>
      <c r="D221" s="147" t="e">
        <f>F221+J221+#REF!</f>
        <v>#REF!</v>
      </c>
      <c r="E221" s="148"/>
      <c r="F221" s="148"/>
      <c r="G221" s="148"/>
      <c r="H221" s="149"/>
      <c r="I221" s="149"/>
      <c r="J221" s="148">
        <f t="shared" si="4"/>
        <v>0</v>
      </c>
      <c r="L221" s="376"/>
      <c r="M221" s="376"/>
    </row>
    <row r="222" spans="1:13" ht="15.75" hidden="1" customHeight="1">
      <c r="A222" s="145" t="s">
        <v>2159</v>
      </c>
      <c r="B222" s="157" t="s">
        <v>2160</v>
      </c>
      <c r="C222" s="147"/>
      <c r="D222" s="147" t="e">
        <f>F222+J222+#REF!</f>
        <v>#REF!</v>
      </c>
      <c r="E222" s="148"/>
      <c r="F222" s="148"/>
      <c r="G222" s="148"/>
      <c r="H222" s="149"/>
      <c r="I222" s="149"/>
      <c r="J222" s="148">
        <f t="shared" si="4"/>
        <v>0</v>
      </c>
      <c r="L222" s="376"/>
      <c r="M222" s="376"/>
    </row>
    <row r="223" spans="1:13" ht="15.75" hidden="1" customHeight="1">
      <c r="A223" s="145" t="s">
        <v>2161</v>
      </c>
      <c r="B223" s="157" t="s">
        <v>2162</v>
      </c>
      <c r="C223" s="147"/>
      <c r="D223" s="147" t="e">
        <f>F223+J223+#REF!</f>
        <v>#REF!</v>
      </c>
      <c r="E223" s="148"/>
      <c r="F223" s="148"/>
      <c r="G223" s="148"/>
      <c r="H223" s="149"/>
      <c r="I223" s="149"/>
      <c r="J223" s="148">
        <f t="shared" si="4"/>
        <v>0</v>
      </c>
      <c r="L223" s="376"/>
      <c r="M223" s="376"/>
    </row>
    <row r="224" spans="1:13" ht="15.75" hidden="1" customHeight="1">
      <c r="A224" s="145" t="s">
        <v>2163</v>
      </c>
      <c r="B224" s="157" t="s">
        <v>2164</v>
      </c>
      <c r="C224" s="147"/>
      <c r="D224" s="147" t="e">
        <f>F224+J224+#REF!</f>
        <v>#REF!</v>
      </c>
      <c r="E224" s="148"/>
      <c r="F224" s="148"/>
      <c r="G224" s="148"/>
      <c r="H224" s="149"/>
      <c r="I224" s="149"/>
      <c r="J224" s="148">
        <f t="shared" si="4"/>
        <v>0</v>
      </c>
      <c r="L224" s="376"/>
      <c r="M224" s="376"/>
    </row>
    <row r="225" spans="1:13" ht="15.75" hidden="1" customHeight="1">
      <c r="A225" s="145" t="s">
        <v>2165</v>
      </c>
      <c r="B225" s="157" t="s">
        <v>2166</v>
      </c>
      <c r="C225" s="147"/>
      <c r="D225" s="147" t="e">
        <f>F225+J225+#REF!</f>
        <v>#REF!</v>
      </c>
      <c r="E225" s="148"/>
      <c r="F225" s="148"/>
      <c r="G225" s="148"/>
      <c r="H225" s="149"/>
      <c r="I225" s="149"/>
      <c r="J225" s="148">
        <f t="shared" si="4"/>
        <v>0</v>
      </c>
      <c r="L225" s="376"/>
      <c r="M225" s="376"/>
    </row>
    <row r="226" spans="1:13" ht="15.75" hidden="1" customHeight="1">
      <c r="A226" s="145" t="s">
        <v>2167</v>
      </c>
      <c r="B226" s="157" t="s">
        <v>651</v>
      </c>
      <c r="C226" s="147"/>
      <c r="D226" s="147" t="e">
        <f>F226+J226+#REF!</f>
        <v>#REF!</v>
      </c>
      <c r="E226" s="148"/>
      <c r="F226" s="148"/>
      <c r="G226" s="148"/>
      <c r="H226" s="149"/>
      <c r="I226" s="149"/>
      <c r="J226" s="148">
        <f t="shared" si="4"/>
        <v>0</v>
      </c>
      <c r="L226" s="376"/>
      <c r="M226" s="376"/>
    </row>
    <row r="227" spans="1:13" ht="15.75" hidden="1" customHeight="1">
      <c r="A227" s="145" t="s">
        <v>652</v>
      </c>
      <c r="B227" s="157" t="s">
        <v>653</v>
      </c>
      <c r="C227" s="147"/>
      <c r="D227" s="147" t="e">
        <f>F227+J227+#REF!</f>
        <v>#REF!</v>
      </c>
      <c r="E227" s="148"/>
      <c r="F227" s="148"/>
      <c r="G227" s="148"/>
      <c r="H227" s="149"/>
      <c r="I227" s="149"/>
      <c r="J227" s="148">
        <f t="shared" si="4"/>
        <v>0</v>
      </c>
      <c r="L227" s="376"/>
      <c r="M227" s="376"/>
    </row>
    <row r="228" spans="1:13" ht="15.75" hidden="1" customHeight="1">
      <c r="A228" s="145" t="s">
        <v>654</v>
      </c>
      <c r="B228" s="157" t="s">
        <v>655</v>
      </c>
      <c r="C228" s="147"/>
      <c r="D228" s="147" t="e">
        <f>F228+J228+#REF!</f>
        <v>#REF!</v>
      </c>
      <c r="E228" s="148"/>
      <c r="F228" s="148"/>
      <c r="G228" s="148"/>
      <c r="H228" s="149"/>
      <c r="I228" s="149"/>
      <c r="J228" s="148">
        <f t="shared" si="4"/>
        <v>0</v>
      </c>
      <c r="L228" s="376"/>
      <c r="M228" s="376"/>
    </row>
    <row r="229" spans="1:13" ht="15.75" hidden="1" customHeight="1">
      <c r="A229" s="145" t="s">
        <v>656</v>
      </c>
      <c r="B229" s="157" t="s">
        <v>657</v>
      </c>
      <c r="C229" s="147"/>
      <c r="D229" s="147" t="e">
        <f>F229+J229+#REF!</f>
        <v>#REF!</v>
      </c>
      <c r="E229" s="148"/>
      <c r="F229" s="148"/>
      <c r="G229" s="148"/>
      <c r="H229" s="149"/>
      <c r="I229" s="149"/>
      <c r="J229" s="148">
        <f t="shared" si="4"/>
        <v>0</v>
      </c>
      <c r="L229" s="376"/>
      <c r="M229" s="376"/>
    </row>
    <row r="230" spans="1:13" ht="15.75" hidden="1" customHeight="1">
      <c r="A230" s="145" t="s">
        <v>658</v>
      </c>
      <c r="B230" s="157" t="s">
        <v>659</v>
      </c>
      <c r="C230" s="147"/>
      <c r="D230" s="147" t="e">
        <f>F230+J230+#REF!</f>
        <v>#REF!</v>
      </c>
      <c r="E230" s="148"/>
      <c r="F230" s="148"/>
      <c r="G230" s="148"/>
      <c r="H230" s="149"/>
      <c r="I230" s="149"/>
      <c r="J230" s="148">
        <f t="shared" si="4"/>
        <v>0</v>
      </c>
      <c r="L230" s="376"/>
      <c r="M230" s="376"/>
    </row>
    <row r="231" spans="1:13" ht="15.75" hidden="1" customHeight="1">
      <c r="A231" s="145" t="s">
        <v>660</v>
      </c>
      <c r="B231" s="157" t="s">
        <v>661</v>
      </c>
      <c r="C231" s="147"/>
      <c r="D231" s="147" t="e">
        <f>F231+J231+#REF!</f>
        <v>#REF!</v>
      </c>
      <c r="E231" s="148"/>
      <c r="F231" s="148"/>
      <c r="G231" s="148"/>
      <c r="H231" s="149"/>
      <c r="I231" s="149"/>
      <c r="J231" s="148">
        <f t="shared" si="4"/>
        <v>0</v>
      </c>
      <c r="L231" s="376"/>
      <c r="M231" s="376"/>
    </row>
    <row r="232" spans="1:13" ht="15.75" hidden="1" customHeight="1">
      <c r="A232" s="145" t="s">
        <v>662</v>
      </c>
      <c r="B232" s="157" t="s">
        <v>663</v>
      </c>
      <c r="C232" s="147"/>
      <c r="D232" s="147" t="e">
        <f>F232+J232+#REF!</f>
        <v>#REF!</v>
      </c>
      <c r="E232" s="148"/>
      <c r="F232" s="148"/>
      <c r="G232" s="148"/>
      <c r="H232" s="149"/>
      <c r="I232" s="149"/>
      <c r="J232" s="148">
        <f t="shared" si="4"/>
        <v>0</v>
      </c>
      <c r="L232" s="376"/>
      <c r="M232" s="376"/>
    </row>
    <row r="233" spans="1:13" ht="15.75" hidden="1" customHeight="1">
      <c r="A233" s="145" t="s">
        <v>664</v>
      </c>
      <c r="B233" s="157" t="s">
        <v>665</v>
      </c>
      <c r="C233" s="147"/>
      <c r="D233" s="147" t="e">
        <f>F233+J233+#REF!</f>
        <v>#REF!</v>
      </c>
      <c r="E233" s="148"/>
      <c r="F233" s="148"/>
      <c r="G233" s="148"/>
      <c r="H233" s="149"/>
      <c r="I233" s="149"/>
      <c r="J233" s="148">
        <f t="shared" si="4"/>
        <v>0</v>
      </c>
      <c r="L233" s="376"/>
      <c r="M233" s="376"/>
    </row>
    <row r="234" spans="1:13" ht="15.75" hidden="1" customHeight="1">
      <c r="A234" s="145" t="s">
        <v>666</v>
      </c>
      <c r="B234" s="157" t="s">
        <v>667</v>
      </c>
      <c r="C234" s="147"/>
      <c r="D234" s="147" t="e">
        <f>F234+J234+#REF!</f>
        <v>#REF!</v>
      </c>
      <c r="E234" s="148"/>
      <c r="F234" s="148"/>
      <c r="G234" s="148"/>
      <c r="H234" s="149"/>
      <c r="I234" s="149"/>
      <c r="J234" s="148">
        <f t="shared" si="4"/>
        <v>0</v>
      </c>
      <c r="L234" s="376"/>
      <c r="M234" s="376"/>
    </row>
    <row r="235" spans="1:13" ht="15.75" hidden="1" customHeight="1">
      <c r="A235" s="145" t="s">
        <v>668</v>
      </c>
      <c r="B235" s="157" t="s">
        <v>1466</v>
      </c>
      <c r="C235" s="147"/>
      <c r="D235" s="147" t="e">
        <f>F235+J235+#REF!</f>
        <v>#REF!</v>
      </c>
      <c r="E235" s="148"/>
      <c r="F235" s="148"/>
      <c r="G235" s="148"/>
      <c r="H235" s="149"/>
      <c r="I235" s="149"/>
      <c r="J235" s="148">
        <f t="shared" si="4"/>
        <v>0</v>
      </c>
      <c r="L235" s="376"/>
      <c r="M235" s="376"/>
    </row>
    <row r="236" spans="1:13" ht="15.75" hidden="1" customHeight="1">
      <c r="A236" s="145" t="s">
        <v>2200</v>
      </c>
      <c r="B236" s="157" t="s">
        <v>2201</v>
      </c>
      <c r="C236" s="147"/>
      <c r="D236" s="147" t="e">
        <f>F236+J236+#REF!</f>
        <v>#REF!</v>
      </c>
      <c r="E236" s="148"/>
      <c r="F236" s="148"/>
      <c r="G236" s="148"/>
      <c r="H236" s="149"/>
      <c r="I236" s="149"/>
      <c r="J236" s="148">
        <f t="shared" si="4"/>
        <v>0</v>
      </c>
      <c r="L236" s="376"/>
      <c r="M236" s="376"/>
    </row>
    <row r="237" spans="1:13" ht="15.75" hidden="1" customHeight="1">
      <c r="A237" s="145" t="s">
        <v>777</v>
      </c>
      <c r="B237" s="157" t="s">
        <v>778</v>
      </c>
      <c r="C237" s="147"/>
      <c r="D237" s="147" t="e">
        <f>F237+J237+#REF!</f>
        <v>#REF!</v>
      </c>
      <c r="E237" s="148"/>
      <c r="F237" s="148"/>
      <c r="G237" s="148"/>
      <c r="H237" s="149"/>
      <c r="I237" s="149"/>
      <c r="J237" s="148">
        <f t="shared" ref="J237:J279" si="5">I237-H237</f>
        <v>0</v>
      </c>
      <c r="L237" s="376"/>
      <c r="M237" s="376"/>
    </row>
    <row r="238" spans="1:13" ht="15.75" hidden="1" customHeight="1">
      <c r="A238" s="145" t="s">
        <v>1222</v>
      </c>
      <c r="B238" s="157" t="s">
        <v>1223</v>
      </c>
      <c r="C238" s="147"/>
      <c r="D238" s="147" t="e">
        <f>F238+J238+#REF!</f>
        <v>#REF!</v>
      </c>
      <c r="E238" s="148"/>
      <c r="F238" s="148"/>
      <c r="G238" s="148"/>
      <c r="H238" s="149"/>
      <c r="I238" s="149"/>
      <c r="J238" s="148">
        <f t="shared" si="5"/>
        <v>0</v>
      </c>
      <c r="L238" s="376"/>
      <c r="M238" s="376"/>
    </row>
    <row r="239" spans="1:13" ht="15.75" hidden="1" customHeight="1">
      <c r="A239" s="145" t="s">
        <v>1224</v>
      </c>
      <c r="B239" s="157" t="s">
        <v>1225</v>
      </c>
      <c r="C239" s="147"/>
      <c r="D239" s="147" t="e">
        <f>F239+J239+#REF!</f>
        <v>#REF!</v>
      </c>
      <c r="E239" s="148"/>
      <c r="F239" s="148"/>
      <c r="G239" s="148"/>
      <c r="H239" s="149"/>
      <c r="I239" s="149"/>
      <c r="J239" s="148">
        <f t="shared" si="5"/>
        <v>0</v>
      </c>
      <c r="L239" s="376"/>
      <c r="M239" s="376"/>
    </row>
    <row r="240" spans="1:13" ht="15.75" hidden="1" customHeight="1">
      <c r="A240" s="145" t="s">
        <v>1226</v>
      </c>
      <c r="B240" s="157" t="s">
        <v>1227</v>
      </c>
      <c r="C240" s="147"/>
      <c r="D240" s="147" t="e">
        <f>F240+J240+#REF!</f>
        <v>#REF!</v>
      </c>
      <c r="E240" s="148"/>
      <c r="F240" s="148"/>
      <c r="G240" s="148"/>
      <c r="H240" s="149"/>
      <c r="I240" s="149"/>
      <c r="J240" s="148">
        <f t="shared" si="5"/>
        <v>0</v>
      </c>
      <c r="L240" s="376"/>
      <c r="M240" s="376"/>
    </row>
    <row r="241" spans="1:13" ht="15.75" hidden="1" customHeight="1">
      <c r="A241" s="145" t="s">
        <v>1228</v>
      </c>
      <c r="B241" s="157" t="s">
        <v>1229</v>
      </c>
      <c r="C241" s="147"/>
      <c r="D241" s="147" t="e">
        <f>F241+J241+#REF!</f>
        <v>#REF!</v>
      </c>
      <c r="E241" s="148"/>
      <c r="F241" s="148"/>
      <c r="G241" s="148"/>
      <c r="H241" s="149"/>
      <c r="I241" s="149"/>
      <c r="J241" s="148">
        <f t="shared" si="5"/>
        <v>0</v>
      </c>
      <c r="L241" s="376"/>
      <c r="M241" s="376"/>
    </row>
    <row r="242" spans="1:13" ht="15.75" hidden="1" customHeight="1">
      <c r="A242" s="145" t="s">
        <v>1230</v>
      </c>
      <c r="B242" s="157" t="s">
        <v>1231</v>
      </c>
      <c r="C242" s="147"/>
      <c r="D242" s="147" t="e">
        <f>F242+J242+#REF!</f>
        <v>#REF!</v>
      </c>
      <c r="E242" s="148"/>
      <c r="F242" s="148"/>
      <c r="G242" s="148"/>
      <c r="H242" s="149"/>
      <c r="I242" s="149"/>
      <c r="J242" s="148">
        <f t="shared" si="5"/>
        <v>0</v>
      </c>
      <c r="L242" s="376"/>
      <c r="M242" s="376"/>
    </row>
    <row r="243" spans="1:13" ht="15.75" hidden="1" customHeight="1">
      <c r="A243" s="145"/>
      <c r="B243" s="157"/>
      <c r="C243" s="147"/>
      <c r="D243" s="147"/>
      <c r="E243" s="148"/>
      <c r="F243" s="148"/>
      <c r="G243" s="148"/>
      <c r="H243" s="149"/>
      <c r="I243" s="149"/>
      <c r="J243" s="148"/>
      <c r="L243" s="376"/>
      <c r="M243" s="376"/>
    </row>
    <row r="244" spans="1:13" ht="15.75" hidden="1" customHeight="1">
      <c r="A244" s="145" t="s">
        <v>1232</v>
      </c>
      <c r="B244" s="157" t="s">
        <v>1233</v>
      </c>
      <c r="C244" s="147"/>
      <c r="D244" s="147" t="e">
        <f>F244+J244+#REF!</f>
        <v>#REF!</v>
      </c>
      <c r="E244" s="148"/>
      <c r="F244" s="148"/>
      <c r="G244" s="148"/>
      <c r="H244" s="149"/>
      <c r="I244" s="149"/>
      <c r="J244" s="148">
        <f t="shared" si="5"/>
        <v>0</v>
      </c>
      <c r="L244" s="376"/>
      <c r="M244" s="376"/>
    </row>
    <row r="245" spans="1:13" ht="15.75" hidden="1" customHeight="1">
      <c r="A245" s="145" t="s">
        <v>1234</v>
      </c>
      <c r="B245" s="157" t="s">
        <v>1235</v>
      </c>
      <c r="C245" s="147"/>
      <c r="D245" s="147" t="e">
        <f>F245+J245+#REF!</f>
        <v>#REF!</v>
      </c>
      <c r="E245" s="148"/>
      <c r="F245" s="148"/>
      <c r="G245" s="148"/>
      <c r="H245" s="149"/>
      <c r="I245" s="149"/>
      <c r="J245" s="148">
        <f t="shared" si="5"/>
        <v>0</v>
      </c>
      <c r="L245" s="376"/>
      <c r="M245" s="376"/>
    </row>
    <row r="246" spans="1:13" ht="15.75" hidden="1" customHeight="1">
      <c r="A246" s="145" t="s">
        <v>2006</v>
      </c>
      <c r="B246" s="157" t="s">
        <v>2007</v>
      </c>
      <c r="C246" s="147"/>
      <c r="D246" s="147" t="e">
        <f>F246+J246+#REF!</f>
        <v>#REF!</v>
      </c>
      <c r="E246" s="148"/>
      <c r="F246" s="148"/>
      <c r="G246" s="148"/>
      <c r="H246" s="149"/>
      <c r="I246" s="149"/>
      <c r="J246" s="148">
        <f t="shared" si="5"/>
        <v>0</v>
      </c>
      <c r="L246" s="376"/>
      <c r="M246" s="376"/>
    </row>
    <row r="247" spans="1:13" ht="15.75" hidden="1" customHeight="1">
      <c r="A247" s="145" t="s">
        <v>2008</v>
      </c>
      <c r="B247" s="157" t="s">
        <v>2009</v>
      </c>
      <c r="C247" s="147"/>
      <c r="D247" s="147" t="e">
        <f>F247+J247+#REF!</f>
        <v>#REF!</v>
      </c>
      <c r="E247" s="148"/>
      <c r="F247" s="148"/>
      <c r="G247" s="148"/>
      <c r="H247" s="149"/>
      <c r="I247" s="149"/>
      <c r="J247" s="148">
        <f t="shared" si="5"/>
        <v>0</v>
      </c>
      <c r="L247" s="376"/>
      <c r="M247" s="376"/>
    </row>
    <row r="248" spans="1:13" ht="15.75" hidden="1" customHeight="1">
      <c r="A248" s="145" t="s">
        <v>2010</v>
      </c>
      <c r="B248" s="157" t="s">
        <v>2011</v>
      </c>
      <c r="C248" s="147"/>
      <c r="D248" s="147" t="e">
        <f>F248+J248+#REF!</f>
        <v>#REF!</v>
      </c>
      <c r="E248" s="148"/>
      <c r="F248" s="148"/>
      <c r="G248" s="148"/>
      <c r="H248" s="149"/>
      <c r="I248" s="149"/>
      <c r="J248" s="148">
        <f t="shared" si="5"/>
        <v>0</v>
      </c>
      <c r="L248" s="376"/>
      <c r="M248" s="376"/>
    </row>
    <row r="249" spans="1:13" ht="15.75" hidden="1" customHeight="1">
      <c r="A249" s="145" t="s">
        <v>2012</v>
      </c>
      <c r="B249" s="157" t="s">
        <v>2013</v>
      </c>
      <c r="C249" s="147"/>
      <c r="D249" s="147" t="e">
        <f>F249+J249+#REF!</f>
        <v>#REF!</v>
      </c>
      <c r="E249" s="148"/>
      <c r="F249" s="148"/>
      <c r="G249" s="148"/>
      <c r="H249" s="149"/>
      <c r="I249" s="149"/>
      <c r="J249" s="148">
        <f t="shared" si="5"/>
        <v>0</v>
      </c>
      <c r="L249" s="376"/>
      <c r="M249" s="376"/>
    </row>
    <row r="250" spans="1:13" ht="15.75" hidden="1" customHeight="1">
      <c r="A250" s="145" t="s">
        <v>2014</v>
      </c>
      <c r="B250" s="157" t="s">
        <v>2015</v>
      </c>
      <c r="C250" s="147"/>
      <c r="D250" s="147" t="e">
        <f>F250+J250+#REF!</f>
        <v>#REF!</v>
      </c>
      <c r="E250" s="148"/>
      <c r="F250" s="148"/>
      <c r="G250" s="148"/>
      <c r="H250" s="149"/>
      <c r="I250" s="149"/>
      <c r="J250" s="148">
        <f t="shared" si="5"/>
        <v>0</v>
      </c>
      <c r="L250" s="376"/>
      <c r="M250" s="376"/>
    </row>
    <row r="251" spans="1:13" ht="15.75" hidden="1" customHeight="1">
      <c r="A251" s="145" t="s">
        <v>2016</v>
      </c>
      <c r="B251" s="157" t="s">
        <v>2017</v>
      </c>
      <c r="C251" s="147"/>
      <c r="D251" s="147" t="e">
        <f>F251+J251+#REF!</f>
        <v>#REF!</v>
      </c>
      <c r="E251" s="148"/>
      <c r="F251" s="148"/>
      <c r="G251" s="148"/>
      <c r="H251" s="149"/>
      <c r="I251" s="149"/>
      <c r="J251" s="148">
        <f t="shared" si="5"/>
        <v>0</v>
      </c>
      <c r="L251" s="376"/>
      <c r="M251" s="376"/>
    </row>
    <row r="252" spans="1:13" ht="15.75" hidden="1" customHeight="1">
      <c r="A252" s="145" t="s">
        <v>2018</v>
      </c>
      <c r="B252" s="157" t="s">
        <v>2019</v>
      </c>
      <c r="C252" s="147"/>
      <c r="D252" s="147" t="e">
        <f>F252+J252+#REF!</f>
        <v>#REF!</v>
      </c>
      <c r="E252" s="148"/>
      <c r="F252" s="148"/>
      <c r="G252" s="148"/>
      <c r="H252" s="149"/>
      <c r="I252" s="149"/>
      <c r="J252" s="148">
        <f t="shared" si="5"/>
        <v>0</v>
      </c>
      <c r="L252" s="376"/>
      <c r="M252" s="376"/>
    </row>
    <row r="253" spans="1:13" ht="15.75" hidden="1" customHeight="1">
      <c r="A253" s="145" t="s">
        <v>1251</v>
      </c>
      <c r="B253" s="157" t="s">
        <v>1252</v>
      </c>
      <c r="C253" s="147"/>
      <c r="D253" s="147" t="e">
        <f>F253+J253+#REF!</f>
        <v>#REF!</v>
      </c>
      <c r="E253" s="148"/>
      <c r="F253" s="148"/>
      <c r="G253" s="148"/>
      <c r="H253" s="149"/>
      <c r="I253" s="149"/>
      <c r="J253" s="148">
        <f t="shared" si="5"/>
        <v>0</v>
      </c>
      <c r="L253" s="376"/>
      <c r="M253" s="376"/>
    </row>
    <row r="254" spans="1:13" ht="15.75" hidden="1" customHeight="1">
      <c r="A254" s="145" t="s">
        <v>1253</v>
      </c>
      <c r="B254" s="157" t="s">
        <v>1254</v>
      </c>
      <c r="C254" s="147"/>
      <c r="D254" s="147" t="e">
        <f>F254+J254+#REF!</f>
        <v>#REF!</v>
      </c>
      <c r="E254" s="148"/>
      <c r="F254" s="148"/>
      <c r="G254" s="148"/>
      <c r="H254" s="149"/>
      <c r="I254" s="149"/>
      <c r="J254" s="148">
        <f t="shared" si="5"/>
        <v>0</v>
      </c>
      <c r="L254" s="376"/>
      <c r="M254" s="376"/>
    </row>
    <row r="255" spans="1:13" ht="15.75" hidden="1" customHeight="1">
      <c r="A255" s="145" t="s">
        <v>1255</v>
      </c>
      <c r="B255" s="157" t="s">
        <v>1256</v>
      </c>
      <c r="C255" s="147"/>
      <c r="D255" s="147" t="e">
        <f>F255+J255+#REF!</f>
        <v>#REF!</v>
      </c>
      <c r="E255" s="148"/>
      <c r="F255" s="148"/>
      <c r="G255" s="148"/>
      <c r="H255" s="149"/>
      <c r="I255" s="149"/>
      <c r="J255" s="148">
        <f t="shared" si="5"/>
        <v>0</v>
      </c>
      <c r="L255" s="376"/>
      <c r="M255" s="376"/>
    </row>
    <row r="256" spans="1:13" ht="15.75" hidden="1" customHeight="1">
      <c r="A256" s="145" t="s">
        <v>1257</v>
      </c>
      <c r="B256" s="157" t="s">
        <v>1258</v>
      </c>
      <c r="C256" s="147"/>
      <c r="D256" s="147" t="e">
        <f>F256+J256+#REF!</f>
        <v>#REF!</v>
      </c>
      <c r="E256" s="148"/>
      <c r="F256" s="148"/>
      <c r="G256" s="148"/>
      <c r="H256" s="149"/>
      <c r="I256" s="149"/>
      <c r="J256" s="148">
        <f t="shared" si="5"/>
        <v>0</v>
      </c>
      <c r="L256" s="376"/>
      <c r="M256" s="376"/>
    </row>
    <row r="257" spans="1:13" ht="15.75" hidden="1" customHeight="1">
      <c r="A257" s="145" t="s">
        <v>1259</v>
      </c>
      <c r="B257" s="157" t="s">
        <v>1260</v>
      </c>
      <c r="C257" s="147"/>
      <c r="D257" s="147" t="e">
        <f>F257+J257+#REF!</f>
        <v>#REF!</v>
      </c>
      <c r="E257" s="148"/>
      <c r="F257" s="148"/>
      <c r="G257" s="148"/>
      <c r="H257" s="149"/>
      <c r="I257" s="149"/>
      <c r="J257" s="148">
        <f t="shared" si="5"/>
        <v>0</v>
      </c>
      <c r="L257" s="376"/>
      <c r="M257" s="376"/>
    </row>
    <row r="258" spans="1:13" ht="15.75" hidden="1" customHeight="1">
      <c r="A258" s="145" t="s">
        <v>1261</v>
      </c>
      <c r="B258" s="157" t="s">
        <v>1262</v>
      </c>
      <c r="C258" s="147"/>
      <c r="D258" s="147" t="e">
        <f>F258+J258+#REF!</f>
        <v>#REF!</v>
      </c>
      <c r="E258" s="148"/>
      <c r="F258" s="148"/>
      <c r="G258" s="148"/>
      <c r="H258" s="149"/>
      <c r="I258" s="149"/>
      <c r="J258" s="148">
        <f t="shared" si="5"/>
        <v>0</v>
      </c>
      <c r="L258" s="376"/>
      <c r="M258" s="376"/>
    </row>
    <row r="259" spans="1:13" ht="15.75" hidden="1" customHeight="1">
      <c r="A259" s="145" t="s">
        <v>1263</v>
      </c>
      <c r="B259" s="157" t="s">
        <v>1264</v>
      </c>
      <c r="C259" s="147"/>
      <c r="D259" s="147" t="e">
        <f>F259+J259+#REF!</f>
        <v>#REF!</v>
      </c>
      <c r="E259" s="148"/>
      <c r="F259" s="148"/>
      <c r="G259" s="148"/>
      <c r="H259" s="149"/>
      <c r="I259" s="149"/>
      <c r="J259" s="148">
        <f t="shared" si="5"/>
        <v>0</v>
      </c>
      <c r="L259" s="376"/>
      <c r="M259" s="376"/>
    </row>
    <row r="260" spans="1:13" ht="15.75" hidden="1" customHeight="1">
      <c r="A260" s="145" t="s">
        <v>1265</v>
      </c>
      <c r="B260" s="157" t="s">
        <v>1266</v>
      </c>
      <c r="C260" s="147"/>
      <c r="D260" s="147" t="e">
        <f>F260+J260+#REF!</f>
        <v>#REF!</v>
      </c>
      <c r="E260" s="148"/>
      <c r="F260" s="148"/>
      <c r="G260" s="148"/>
      <c r="H260" s="149"/>
      <c r="I260" s="149"/>
      <c r="J260" s="148">
        <f t="shared" si="5"/>
        <v>0</v>
      </c>
      <c r="L260" s="376"/>
      <c r="M260" s="376"/>
    </row>
    <row r="261" spans="1:13" ht="15.75" hidden="1" customHeight="1">
      <c r="A261" s="145" t="s">
        <v>1267</v>
      </c>
      <c r="B261" s="157" t="s">
        <v>1268</v>
      </c>
      <c r="C261" s="147"/>
      <c r="D261" s="147" t="e">
        <f>F261+J261+#REF!</f>
        <v>#REF!</v>
      </c>
      <c r="E261" s="148"/>
      <c r="F261" s="148"/>
      <c r="G261" s="148"/>
      <c r="H261" s="149"/>
      <c r="I261" s="149"/>
      <c r="J261" s="148">
        <f t="shared" si="5"/>
        <v>0</v>
      </c>
      <c r="L261" s="376"/>
      <c r="M261" s="376"/>
    </row>
    <row r="262" spans="1:13" ht="15.75" hidden="1" customHeight="1">
      <c r="A262" s="145" t="s">
        <v>1269</v>
      </c>
      <c r="B262" s="157" t="s">
        <v>1270</v>
      </c>
      <c r="C262" s="147"/>
      <c r="D262" s="147" t="e">
        <f>F262+J262+#REF!</f>
        <v>#REF!</v>
      </c>
      <c r="E262" s="148"/>
      <c r="F262" s="148"/>
      <c r="G262" s="148"/>
      <c r="H262" s="149"/>
      <c r="I262" s="149"/>
      <c r="J262" s="148">
        <f t="shared" si="5"/>
        <v>0</v>
      </c>
      <c r="L262" s="376"/>
      <c r="M262" s="376"/>
    </row>
    <row r="263" spans="1:13" ht="15.75" hidden="1" customHeight="1">
      <c r="A263" s="145" t="s">
        <v>1271</v>
      </c>
      <c r="B263" s="157" t="s">
        <v>1272</v>
      </c>
      <c r="C263" s="147"/>
      <c r="D263" s="147" t="e">
        <f>F263+J263+#REF!</f>
        <v>#REF!</v>
      </c>
      <c r="E263" s="148"/>
      <c r="F263" s="148"/>
      <c r="G263" s="148"/>
      <c r="H263" s="149"/>
      <c r="I263" s="149"/>
      <c r="J263" s="148">
        <f t="shared" si="5"/>
        <v>0</v>
      </c>
      <c r="L263" s="376"/>
      <c r="M263" s="376"/>
    </row>
    <row r="264" spans="1:13" ht="15.75" hidden="1" customHeight="1">
      <c r="A264" s="145" t="s">
        <v>1273</v>
      </c>
      <c r="B264" s="157" t="s">
        <v>1274</v>
      </c>
      <c r="C264" s="147"/>
      <c r="D264" s="147" t="e">
        <f>F264+J264+#REF!</f>
        <v>#REF!</v>
      </c>
      <c r="E264" s="148"/>
      <c r="F264" s="148"/>
      <c r="G264" s="148"/>
      <c r="H264" s="149"/>
      <c r="I264" s="149"/>
      <c r="J264" s="148">
        <f t="shared" si="5"/>
        <v>0</v>
      </c>
      <c r="L264" s="376"/>
      <c r="M264" s="376"/>
    </row>
    <row r="265" spans="1:13" ht="15.75" hidden="1" customHeight="1">
      <c r="A265" s="145" t="s">
        <v>1275</v>
      </c>
      <c r="B265" s="157" t="s">
        <v>1276</v>
      </c>
      <c r="C265" s="147"/>
      <c r="D265" s="147" t="e">
        <f>F265+J265+#REF!</f>
        <v>#REF!</v>
      </c>
      <c r="E265" s="148"/>
      <c r="F265" s="148"/>
      <c r="G265" s="148"/>
      <c r="H265" s="149"/>
      <c r="I265" s="149"/>
      <c r="J265" s="148">
        <f t="shared" si="5"/>
        <v>0</v>
      </c>
      <c r="L265" s="376"/>
      <c r="M265" s="376"/>
    </row>
    <row r="266" spans="1:13" ht="15.75" hidden="1" customHeight="1">
      <c r="A266" s="145" t="s">
        <v>1277</v>
      </c>
      <c r="B266" s="157" t="s">
        <v>1278</v>
      </c>
      <c r="C266" s="147"/>
      <c r="D266" s="147" t="e">
        <f>F266+J266+#REF!</f>
        <v>#REF!</v>
      </c>
      <c r="E266" s="148"/>
      <c r="F266" s="148"/>
      <c r="G266" s="148"/>
      <c r="H266" s="149"/>
      <c r="I266" s="149"/>
      <c r="J266" s="148">
        <f t="shared" si="5"/>
        <v>0</v>
      </c>
      <c r="L266" s="376"/>
      <c r="M266" s="376"/>
    </row>
    <row r="267" spans="1:13" ht="15.75" hidden="1" customHeight="1">
      <c r="A267" s="145" t="s">
        <v>1279</v>
      </c>
      <c r="B267" s="157" t="s">
        <v>1280</v>
      </c>
      <c r="C267" s="147"/>
      <c r="D267" s="147" t="e">
        <f>F267+J267+#REF!</f>
        <v>#REF!</v>
      </c>
      <c r="E267" s="148"/>
      <c r="F267" s="148"/>
      <c r="G267" s="148"/>
      <c r="H267" s="149"/>
      <c r="I267" s="149">
        <f>41941.2+62475.26+63998.06+2673.94-171088.46</f>
        <v>0</v>
      </c>
      <c r="J267" s="148">
        <f t="shared" si="5"/>
        <v>0</v>
      </c>
      <c r="L267" s="376"/>
      <c r="M267" s="376"/>
    </row>
    <row r="268" spans="1:13" ht="15.75" hidden="1" customHeight="1">
      <c r="A268" s="145" t="s">
        <v>1281</v>
      </c>
      <c r="B268" s="157" t="s">
        <v>1282</v>
      </c>
      <c r="C268" s="147"/>
      <c r="D268" s="147" t="e">
        <f>F268+J268+#REF!</f>
        <v>#REF!</v>
      </c>
      <c r="E268" s="148"/>
      <c r="F268" s="148"/>
      <c r="G268" s="148"/>
      <c r="H268" s="149"/>
      <c r="I268" s="149"/>
      <c r="J268" s="148">
        <f t="shared" si="5"/>
        <v>0</v>
      </c>
      <c r="L268" s="376"/>
      <c r="M268" s="376"/>
    </row>
    <row r="269" spans="1:13" ht="15.75" hidden="1" customHeight="1">
      <c r="A269" s="145" t="s">
        <v>1283</v>
      </c>
      <c r="B269" s="157" t="s">
        <v>1284</v>
      </c>
      <c r="C269" s="147"/>
      <c r="D269" s="147" t="e">
        <f>F269+J269+#REF!</f>
        <v>#REF!</v>
      </c>
      <c r="E269" s="148"/>
      <c r="F269" s="148"/>
      <c r="G269" s="148"/>
      <c r="H269" s="149"/>
      <c r="I269" s="149"/>
      <c r="J269" s="148">
        <f t="shared" si="5"/>
        <v>0</v>
      </c>
      <c r="L269" s="376"/>
      <c r="M269" s="376"/>
    </row>
    <row r="270" spans="1:13" ht="15.75" hidden="1" customHeight="1">
      <c r="A270" s="145" t="s">
        <v>1285</v>
      </c>
      <c r="B270" s="157" t="s">
        <v>1286</v>
      </c>
      <c r="C270" s="147"/>
      <c r="D270" s="147" t="e">
        <f>F270+J270+#REF!</f>
        <v>#REF!</v>
      </c>
      <c r="E270" s="148"/>
      <c r="F270" s="148"/>
      <c r="G270" s="148"/>
      <c r="H270" s="149"/>
      <c r="I270" s="149"/>
      <c r="J270" s="148">
        <f t="shared" si="5"/>
        <v>0</v>
      </c>
      <c r="L270" s="376"/>
      <c r="M270" s="376"/>
    </row>
    <row r="271" spans="1:13" ht="15.75" hidden="1" customHeight="1">
      <c r="A271" s="145" t="s">
        <v>1287</v>
      </c>
      <c r="B271" s="157" t="s">
        <v>1288</v>
      </c>
      <c r="C271" s="147"/>
      <c r="D271" s="147" t="e">
        <f>F271+J271+#REF!</f>
        <v>#REF!</v>
      </c>
      <c r="E271" s="148"/>
      <c r="F271" s="148"/>
      <c r="G271" s="148"/>
      <c r="H271" s="149"/>
      <c r="I271" s="149"/>
      <c r="J271" s="148">
        <f t="shared" si="5"/>
        <v>0</v>
      </c>
      <c r="L271" s="376"/>
      <c r="M271" s="376"/>
    </row>
    <row r="272" spans="1:13" ht="15.75" hidden="1" customHeight="1">
      <c r="A272" s="145" t="s">
        <v>1289</v>
      </c>
      <c r="B272" s="157" t="s">
        <v>1290</v>
      </c>
      <c r="C272" s="147"/>
      <c r="D272" s="147" t="e">
        <f>F272+J272+#REF!</f>
        <v>#REF!</v>
      </c>
      <c r="E272" s="148"/>
      <c r="F272" s="148"/>
      <c r="G272" s="148"/>
      <c r="H272" s="149"/>
      <c r="I272" s="149"/>
      <c r="J272" s="148">
        <f t="shared" si="5"/>
        <v>0</v>
      </c>
      <c r="L272" s="376"/>
      <c r="M272" s="376"/>
    </row>
    <row r="273" spans="1:13" ht="15.75" hidden="1" customHeight="1">
      <c r="A273" s="145" t="s">
        <v>1291</v>
      </c>
      <c r="B273" s="157" t="s">
        <v>1292</v>
      </c>
      <c r="C273" s="147"/>
      <c r="D273" s="147" t="e">
        <f>F273+J273+#REF!</f>
        <v>#REF!</v>
      </c>
      <c r="E273" s="148"/>
      <c r="F273" s="148"/>
      <c r="G273" s="148"/>
      <c r="H273" s="149"/>
      <c r="I273" s="149"/>
      <c r="J273" s="148">
        <f t="shared" si="5"/>
        <v>0</v>
      </c>
      <c r="L273" s="376"/>
      <c r="M273" s="376"/>
    </row>
    <row r="274" spans="1:13" ht="15.75" hidden="1" customHeight="1">
      <c r="A274" s="145" t="s">
        <v>1293</v>
      </c>
      <c r="B274" s="157" t="s">
        <v>683</v>
      </c>
      <c r="C274" s="147"/>
      <c r="D274" s="147" t="e">
        <f>F274+J274+#REF!</f>
        <v>#REF!</v>
      </c>
      <c r="E274" s="148"/>
      <c r="F274" s="148"/>
      <c r="G274" s="148"/>
      <c r="H274" s="149"/>
      <c r="I274" s="149"/>
      <c r="J274" s="148">
        <f t="shared" si="5"/>
        <v>0</v>
      </c>
      <c r="L274" s="376"/>
      <c r="M274" s="376"/>
    </row>
    <row r="275" spans="1:13" ht="15.75" hidden="1" customHeight="1">
      <c r="A275" s="145" t="s">
        <v>684</v>
      </c>
      <c r="B275" s="157" t="s">
        <v>685</v>
      </c>
      <c r="C275" s="147"/>
      <c r="D275" s="147" t="e">
        <f>F275+J275+#REF!</f>
        <v>#REF!</v>
      </c>
      <c r="E275" s="148"/>
      <c r="F275" s="148"/>
      <c r="G275" s="148"/>
      <c r="H275" s="149"/>
      <c r="I275" s="149"/>
      <c r="J275" s="148">
        <f t="shared" si="5"/>
        <v>0</v>
      </c>
      <c r="L275" s="376"/>
      <c r="M275" s="376"/>
    </row>
    <row r="276" spans="1:13" ht="14.25" hidden="1">
      <c r="A276" s="145" t="s">
        <v>686</v>
      </c>
      <c r="B276" s="157" t="s">
        <v>687</v>
      </c>
      <c r="C276" s="147"/>
      <c r="D276" s="147" t="e">
        <f>F276+J276+#REF!</f>
        <v>#REF!</v>
      </c>
      <c r="E276" s="148"/>
      <c r="F276" s="148"/>
      <c r="G276" s="148"/>
      <c r="H276" s="149"/>
      <c r="I276" s="149"/>
      <c r="J276" s="148">
        <f t="shared" si="5"/>
        <v>0</v>
      </c>
      <c r="L276" s="376"/>
      <c r="M276" s="376"/>
    </row>
    <row r="277" spans="1:13" ht="15.75" hidden="1" customHeight="1">
      <c r="A277" s="145" t="s">
        <v>723</v>
      </c>
      <c r="B277" s="157" t="s">
        <v>724</v>
      </c>
      <c r="C277" s="147"/>
      <c r="D277" s="147" t="e">
        <f>F277+J277+#REF!</f>
        <v>#REF!</v>
      </c>
      <c r="E277" s="148"/>
      <c r="F277" s="148"/>
      <c r="G277" s="148"/>
      <c r="H277" s="149"/>
      <c r="I277" s="149"/>
      <c r="J277" s="148">
        <f t="shared" si="5"/>
        <v>0</v>
      </c>
      <c r="L277" s="376"/>
      <c r="M277" s="376"/>
    </row>
    <row r="278" spans="1:13" ht="15.75" hidden="1" customHeight="1">
      <c r="A278" s="145" t="s">
        <v>643</v>
      </c>
      <c r="B278" s="157" t="s">
        <v>644</v>
      </c>
      <c r="C278" s="147"/>
      <c r="D278" s="147" t="e">
        <f>F278+J278+#REF!</f>
        <v>#REF!</v>
      </c>
      <c r="E278" s="148"/>
      <c r="F278" s="148"/>
      <c r="G278" s="148"/>
      <c r="H278" s="149"/>
      <c r="I278" s="149"/>
      <c r="J278" s="148">
        <f t="shared" si="5"/>
        <v>0</v>
      </c>
      <c r="L278" s="376"/>
      <c r="M278" s="376"/>
    </row>
    <row r="279" spans="1:13" ht="15.75" hidden="1" customHeight="1">
      <c r="A279" s="145" t="s">
        <v>645</v>
      </c>
      <c r="B279" s="157" t="s">
        <v>646</v>
      </c>
      <c r="C279" s="147"/>
      <c r="D279" s="147" t="e">
        <f>F279+J279+#REF!</f>
        <v>#REF!</v>
      </c>
      <c r="E279" s="148"/>
      <c r="F279" s="148"/>
      <c r="G279" s="148"/>
      <c r="H279" s="149"/>
      <c r="I279" s="149"/>
      <c r="J279" s="148">
        <f t="shared" si="5"/>
        <v>0</v>
      </c>
      <c r="L279" s="376"/>
      <c r="M279" s="376"/>
    </row>
    <row r="280" spans="1:13" ht="15.75" hidden="1" customHeight="1">
      <c r="A280" s="145" t="s">
        <v>647</v>
      </c>
      <c r="B280" s="157" t="s">
        <v>648</v>
      </c>
      <c r="C280" s="147" t="e">
        <f>E280+G280+#REF!</f>
        <v>#REF!</v>
      </c>
      <c r="D280" s="147" t="e">
        <f>F280+J280+#REF!</f>
        <v>#REF!</v>
      </c>
      <c r="E280" s="148"/>
      <c r="F280" s="148"/>
      <c r="G280" s="148">
        <f>H280-I280</f>
        <v>0</v>
      </c>
      <c r="H280" s="149"/>
      <c r="I280" s="149"/>
      <c r="J280" s="148"/>
      <c r="L280" s="376"/>
      <c r="M280" s="376"/>
    </row>
    <row r="281" spans="1:13" ht="15.75" hidden="1" customHeight="1">
      <c r="A281" s="145" t="s">
        <v>649</v>
      </c>
      <c r="B281" s="146" t="s">
        <v>650</v>
      </c>
      <c r="C281" s="147" t="e">
        <f>E281+G281+#REF!</f>
        <v>#REF!</v>
      </c>
      <c r="D281" s="147"/>
      <c r="E281" s="148"/>
      <c r="F281" s="148"/>
      <c r="G281" s="148">
        <f t="shared" ref="G281:G344" si="6">H281-I281</f>
        <v>0</v>
      </c>
      <c r="H281" s="149"/>
      <c r="I281" s="149"/>
      <c r="J281" s="148"/>
      <c r="L281" s="376"/>
      <c r="M281" s="376"/>
    </row>
    <row r="282" spans="1:13" ht="15.75" hidden="1" customHeight="1">
      <c r="A282" s="145" t="s">
        <v>738</v>
      </c>
      <c r="B282" s="146" t="s">
        <v>739</v>
      </c>
      <c r="C282" s="147" t="e">
        <f>E282+G282+#REF!</f>
        <v>#REF!</v>
      </c>
      <c r="D282" s="147"/>
      <c r="E282" s="148"/>
      <c r="F282" s="148"/>
      <c r="G282" s="148">
        <f t="shared" si="6"/>
        <v>0</v>
      </c>
      <c r="H282" s="149"/>
      <c r="I282" s="149"/>
      <c r="J282" s="148"/>
      <c r="L282" s="376"/>
      <c r="M282" s="376"/>
    </row>
    <row r="283" spans="1:13" ht="15.75" hidden="1" customHeight="1">
      <c r="A283" s="145" t="s">
        <v>740</v>
      </c>
      <c r="B283" s="146" t="s">
        <v>741</v>
      </c>
      <c r="C283" s="147" t="e">
        <f>E283+G283+#REF!</f>
        <v>#REF!</v>
      </c>
      <c r="D283" s="147"/>
      <c r="E283" s="148"/>
      <c r="F283" s="148"/>
      <c r="G283" s="148">
        <f t="shared" si="6"/>
        <v>0</v>
      </c>
      <c r="H283" s="149"/>
      <c r="I283" s="149"/>
      <c r="J283" s="148"/>
      <c r="L283" s="376"/>
      <c r="M283" s="376"/>
    </row>
    <row r="284" spans="1:13" ht="15.75" hidden="1" customHeight="1">
      <c r="A284" s="145" t="s">
        <v>742</v>
      </c>
      <c r="B284" s="146" t="s">
        <v>743</v>
      </c>
      <c r="C284" s="147" t="e">
        <f>E284+G284+#REF!</f>
        <v>#REF!</v>
      </c>
      <c r="D284" s="147"/>
      <c r="E284" s="148"/>
      <c r="F284" s="148"/>
      <c r="G284" s="148">
        <f t="shared" si="6"/>
        <v>0</v>
      </c>
      <c r="H284" s="149"/>
      <c r="I284" s="149"/>
      <c r="J284" s="148"/>
      <c r="L284" s="376"/>
      <c r="M284" s="376"/>
    </row>
    <row r="285" spans="1:13" ht="15.75" hidden="1" customHeight="1">
      <c r="A285" s="145" t="s">
        <v>744</v>
      </c>
      <c r="B285" s="146" t="s">
        <v>745</v>
      </c>
      <c r="C285" s="147" t="e">
        <f>E285+G285+#REF!</f>
        <v>#REF!</v>
      </c>
      <c r="D285" s="147"/>
      <c r="E285" s="148"/>
      <c r="F285" s="148"/>
      <c r="G285" s="148">
        <f t="shared" si="6"/>
        <v>0</v>
      </c>
      <c r="H285" s="149"/>
      <c r="I285" s="149"/>
      <c r="J285" s="148"/>
      <c r="L285" s="376"/>
      <c r="M285" s="376"/>
    </row>
    <row r="286" spans="1:13" ht="15.75" hidden="1" customHeight="1">
      <c r="A286" s="145" t="s">
        <v>746</v>
      </c>
      <c r="B286" s="146" t="s">
        <v>747</v>
      </c>
      <c r="C286" s="147" t="e">
        <f>E286+G286+#REF!</f>
        <v>#REF!</v>
      </c>
      <c r="D286" s="147"/>
      <c r="E286" s="148"/>
      <c r="F286" s="148"/>
      <c r="G286" s="148">
        <f t="shared" si="6"/>
        <v>0</v>
      </c>
      <c r="H286" s="149"/>
      <c r="I286" s="149"/>
      <c r="J286" s="148"/>
      <c r="L286" s="376"/>
      <c r="M286" s="376"/>
    </row>
    <row r="287" spans="1:13" ht="15.75" hidden="1" customHeight="1">
      <c r="A287" s="145" t="s">
        <v>748</v>
      </c>
      <c r="B287" s="146" t="s">
        <v>749</v>
      </c>
      <c r="C287" s="147" t="e">
        <f>E287+G287+#REF!</f>
        <v>#REF!</v>
      </c>
      <c r="D287" s="147"/>
      <c r="E287" s="148"/>
      <c r="F287" s="148"/>
      <c r="G287" s="148">
        <f t="shared" si="6"/>
        <v>0</v>
      </c>
      <c r="H287" s="149"/>
      <c r="I287" s="149"/>
      <c r="J287" s="148"/>
      <c r="L287" s="376"/>
      <c r="M287" s="376"/>
    </row>
    <row r="288" spans="1:13" ht="15.75" hidden="1" customHeight="1">
      <c r="A288" s="145" t="s">
        <v>750</v>
      </c>
      <c r="B288" s="146" t="s">
        <v>751</v>
      </c>
      <c r="C288" s="147" t="e">
        <f>E288+G288+#REF!</f>
        <v>#REF!</v>
      </c>
      <c r="D288" s="147"/>
      <c r="E288" s="148"/>
      <c r="F288" s="148"/>
      <c r="G288" s="148">
        <f t="shared" si="6"/>
        <v>0</v>
      </c>
      <c r="H288" s="149"/>
      <c r="I288" s="149"/>
      <c r="J288" s="148"/>
      <c r="L288" s="376"/>
      <c r="M288" s="376"/>
    </row>
    <row r="289" spans="1:13" ht="15.75" hidden="1" customHeight="1">
      <c r="A289" s="145" t="s">
        <v>2120</v>
      </c>
      <c r="B289" s="146" t="s">
        <v>2121</v>
      </c>
      <c r="C289" s="147" t="e">
        <f>E289+G289+#REF!</f>
        <v>#REF!</v>
      </c>
      <c r="D289" s="147"/>
      <c r="E289" s="148"/>
      <c r="F289" s="148"/>
      <c r="G289" s="148">
        <f t="shared" si="6"/>
        <v>0</v>
      </c>
      <c r="H289" s="149"/>
      <c r="I289" s="149"/>
      <c r="J289" s="148"/>
      <c r="L289" s="376"/>
      <c r="M289" s="376"/>
    </row>
    <row r="290" spans="1:13" ht="15.75" hidden="1" customHeight="1">
      <c r="A290" s="145" t="s">
        <v>2122</v>
      </c>
      <c r="B290" s="146" t="s">
        <v>2123</v>
      </c>
      <c r="C290" s="147" t="e">
        <f>E290+G290+#REF!</f>
        <v>#REF!</v>
      </c>
      <c r="D290" s="147"/>
      <c r="E290" s="148"/>
      <c r="F290" s="148"/>
      <c r="G290" s="148">
        <f t="shared" si="6"/>
        <v>0</v>
      </c>
      <c r="H290" s="149"/>
      <c r="I290" s="149"/>
      <c r="J290" s="148"/>
      <c r="L290" s="376"/>
      <c r="M290" s="376"/>
    </row>
    <row r="291" spans="1:13" ht="15.75" hidden="1" customHeight="1">
      <c r="A291" s="145" t="s">
        <v>2124</v>
      </c>
      <c r="B291" s="146" t="s">
        <v>2125</v>
      </c>
      <c r="C291" s="147" t="e">
        <f>E291+G291+#REF!</f>
        <v>#REF!</v>
      </c>
      <c r="D291" s="147"/>
      <c r="E291" s="148"/>
      <c r="F291" s="148"/>
      <c r="G291" s="148">
        <f t="shared" si="6"/>
        <v>0</v>
      </c>
      <c r="H291" s="149"/>
      <c r="I291" s="149"/>
      <c r="J291" s="148"/>
      <c r="L291" s="376"/>
      <c r="M291" s="376"/>
    </row>
    <row r="292" spans="1:13" ht="14.25" hidden="1">
      <c r="A292" s="145" t="s">
        <v>2126</v>
      </c>
      <c r="B292" s="146" t="s">
        <v>2127</v>
      </c>
      <c r="C292" s="147" t="e">
        <f>E292+G292+#REF!</f>
        <v>#REF!</v>
      </c>
      <c r="D292" s="147"/>
      <c r="E292" s="148"/>
      <c r="F292" s="148"/>
      <c r="G292" s="148">
        <f t="shared" si="6"/>
        <v>0</v>
      </c>
      <c r="H292" s="149"/>
      <c r="I292" s="149"/>
      <c r="J292" s="148"/>
      <c r="L292" s="376"/>
      <c r="M292" s="376"/>
    </row>
    <row r="293" spans="1:13" ht="15.75" hidden="1" customHeight="1">
      <c r="A293" s="145" t="s">
        <v>2369</v>
      </c>
      <c r="B293" s="146" t="s">
        <v>2370</v>
      </c>
      <c r="C293" s="147" t="e">
        <f>E293+G293+#REF!</f>
        <v>#REF!</v>
      </c>
      <c r="D293" s="147"/>
      <c r="E293" s="148"/>
      <c r="F293" s="148"/>
      <c r="G293" s="148">
        <f t="shared" si="6"/>
        <v>0</v>
      </c>
      <c r="H293" s="149"/>
      <c r="I293" s="149"/>
      <c r="J293" s="148"/>
      <c r="L293" s="376"/>
      <c r="M293" s="376"/>
    </row>
    <row r="294" spans="1:13" ht="15.75" hidden="1" customHeight="1">
      <c r="A294" s="145" t="s">
        <v>2371</v>
      </c>
      <c r="B294" s="146" t="s">
        <v>2372</v>
      </c>
      <c r="C294" s="147" t="e">
        <f>E294+G294+#REF!</f>
        <v>#REF!</v>
      </c>
      <c r="D294" s="147"/>
      <c r="E294" s="148"/>
      <c r="F294" s="148"/>
      <c r="G294" s="148">
        <f t="shared" si="6"/>
        <v>0</v>
      </c>
      <c r="H294" s="149"/>
      <c r="I294" s="149"/>
      <c r="J294" s="148"/>
      <c r="L294" s="376"/>
      <c r="M294" s="376"/>
    </row>
    <row r="295" spans="1:13" ht="15.75" hidden="1" customHeight="1">
      <c r="A295" s="145" t="s">
        <v>2373</v>
      </c>
      <c r="B295" s="146" t="s">
        <v>2374</v>
      </c>
      <c r="C295" s="147" t="e">
        <f>E295+G295+#REF!</f>
        <v>#REF!</v>
      </c>
      <c r="D295" s="147"/>
      <c r="E295" s="148"/>
      <c r="F295" s="148"/>
      <c r="G295" s="148">
        <f t="shared" si="6"/>
        <v>0</v>
      </c>
      <c r="H295" s="149"/>
      <c r="I295" s="149"/>
      <c r="J295" s="148"/>
      <c r="L295" s="376"/>
      <c r="M295" s="376"/>
    </row>
    <row r="296" spans="1:13" ht="15.75" hidden="1" customHeight="1">
      <c r="A296" s="145" t="s">
        <v>948</v>
      </c>
      <c r="B296" s="146" t="s">
        <v>949</v>
      </c>
      <c r="C296" s="147" t="e">
        <f>E296+G296+#REF!</f>
        <v>#REF!</v>
      </c>
      <c r="D296" s="147"/>
      <c r="E296" s="148"/>
      <c r="F296" s="148"/>
      <c r="G296" s="148">
        <f t="shared" si="6"/>
        <v>0</v>
      </c>
      <c r="H296" s="149"/>
      <c r="I296" s="149"/>
      <c r="J296" s="148"/>
      <c r="L296" s="376"/>
      <c r="M296" s="376"/>
    </row>
    <row r="297" spans="1:13" ht="15.75" hidden="1" customHeight="1">
      <c r="A297" s="145" t="s">
        <v>2435</v>
      </c>
      <c r="B297" s="146" t="s">
        <v>2436</v>
      </c>
      <c r="C297" s="147" t="e">
        <f>E297+G297+#REF!</f>
        <v>#REF!</v>
      </c>
      <c r="D297" s="147"/>
      <c r="E297" s="148"/>
      <c r="F297" s="148"/>
      <c r="G297" s="148">
        <f t="shared" si="6"/>
        <v>0</v>
      </c>
      <c r="H297" s="149"/>
      <c r="I297" s="149"/>
      <c r="J297" s="148"/>
      <c r="L297" s="376"/>
      <c r="M297" s="376"/>
    </row>
    <row r="298" spans="1:13" ht="15.75" hidden="1" customHeight="1">
      <c r="A298" s="145" t="s">
        <v>2437</v>
      </c>
      <c r="B298" s="146" t="s">
        <v>2438</v>
      </c>
      <c r="C298" s="147" t="e">
        <f>E298+G298+#REF!</f>
        <v>#REF!</v>
      </c>
      <c r="D298" s="147"/>
      <c r="E298" s="148"/>
      <c r="F298" s="148"/>
      <c r="G298" s="148">
        <f t="shared" si="6"/>
        <v>0</v>
      </c>
      <c r="H298" s="149"/>
      <c r="I298" s="149"/>
      <c r="J298" s="148"/>
      <c r="L298" s="376"/>
      <c r="M298" s="376"/>
    </row>
    <row r="299" spans="1:13" ht="15.75" hidden="1" customHeight="1">
      <c r="A299" s="145" t="s">
        <v>2439</v>
      </c>
      <c r="B299" s="146" t="s">
        <v>2440</v>
      </c>
      <c r="C299" s="147" t="e">
        <f>E299+G299+#REF!</f>
        <v>#REF!</v>
      </c>
      <c r="D299" s="147"/>
      <c r="E299" s="148"/>
      <c r="F299" s="148"/>
      <c r="G299" s="148">
        <f t="shared" si="6"/>
        <v>0</v>
      </c>
      <c r="H299" s="149"/>
      <c r="I299" s="149"/>
      <c r="J299" s="148"/>
      <c r="L299" s="376"/>
      <c r="M299" s="376"/>
    </row>
    <row r="300" spans="1:13" ht="15.75" hidden="1" customHeight="1">
      <c r="A300" s="145" t="s">
        <v>2441</v>
      </c>
      <c r="B300" s="146" t="s">
        <v>2442</v>
      </c>
      <c r="C300" s="147" t="e">
        <f>E300+G300+#REF!</f>
        <v>#REF!</v>
      </c>
      <c r="D300" s="147"/>
      <c r="E300" s="148"/>
      <c r="F300" s="148"/>
      <c r="G300" s="148">
        <f t="shared" si="6"/>
        <v>0</v>
      </c>
      <c r="H300" s="149"/>
      <c r="I300" s="149"/>
      <c r="J300" s="148"/>
      <c r="L300" s="376"/>
      <c r="M300" s="376"/>
    </row>
    <row r="301" spans="1:13" ht="15.75" hidden="1" customHeight="1">
      <c r="A301" s="145" t="s">
        <v>99</v>
      </c>
      <c r="B301" s="146" t="s">
        <v>100</v>
      </c>
      <c r="C301" s="147" t="e">
        <f>E301+G301+#REF!</f>
        <v>#REF!</v>
      </c>
      <c r="D301" s="147"/>
      <c r="E301" s="148"/>
      <c r="F301" s="148"/>
      <c r="G301" s="148">
        <f t="shared" si="6"/>
        <v>0</v>
      </c>
      <c r="H301" s="149"/>
      <c r="I301" s="149"/>
      <c r="J301" s="148"/>
      <c r="L301" s="376"/>
      <c r="M301" s="376"/>
    </row>
    <row r="302" spans="1:13" ht="15.75" hidden="1" customHeight="1">
      <c r="A302" s="145" t="s">
        <v>101</v>
      </c>
      <c r="B302" s="146" t="s">
        <v>102</v>
      </c>
      <c r="C302" s="147" t="e">
        <f>E302+G302+#REF!</f>
        <v>#REF!</v>
      </c>
      <c r="D302" s="147"/>
      <c r="E302" s="148"/>
      <c r="F302" s="148"/>
      <c r="G302" s="148">
        <f t="shared" si="6"/>
        <v>0</v>
      </c>
      <c r="H302" s="149"/>
      <c r="I302" s="149"/>
      <c r="J302" s="148"/>
      <c r="L302" s="376"/>
      <c r="M302" s="376"/>
    </row>
    <row r="303" spans="1:13" ht="15.75" hidden="1" customHeight="1">
      <c r="A303" s="145" t="s">
        <v>103</v>
      </c>
      <c r="B303" s="146" t="s">
        <v>104</v>
      </c>
      <c r="C303" s="147" t="e">
        <f>E303+G303+#REF!</f>
        <v>#REF!</v>
      </c>
      <c r="D303" s="147"/>
      <c r="E303" s="148"/>
      <c r="F303" s="148"/>
      <c r="G303" s="148">
        <f t="shared" si="6"/>
        <v>0</v>
      </c>
      <c r="H303" s="149"/>
      <c r="I303" s="149"/>
      <c r="J303" s="148"/>
      <c r="L303" s="376"/>
      <c r="M303" s="376"/>
    </row>
    <row r="304" spans="1:13" ht="15.75" hidden="1" customHeight="1">
      <c r="A304" s="145" t="s">
        <v>105</v>
      </c>
      <c r="B304" s="146" t="s">
        <v>106</v>
      </c>
      <c r="C304" s="147" t="e">
        <f>E304+G304+#REF!</f>
        <v>#REF!</v>
      </c>
      <c r="D304" s="147"/>
      <c r="E304" s="148"/>
      <c r="F304" s="148"/>
      <c r="G304" s="148">
        <f t="shared" si="6"/>
        <v>0</v>
      </c>
      <c r="H304" s="149"/>
      <c r="I304" s="149"/>
      <c r="J304" s="148"/>
      <c r="L304" s="376"/>
      <c r="M304" s="376"/>
    </row>
    <row r="305" spans="1:13" ht="15.75" hidden="1" customHeight="1">
      <c r="A305" s="145" t="s">
        <v>107</v>
      </c>
      <c r="B305" s="146" t="s">
        <v>108</v>
      </c>
      <c r="C305" s="147" t="e">
        <f>E305+G305+#REF!</f>
        <v>#REF!</v>
      </c>
      <c r="D305" s="147"/>
      <c r="E305" s="148"/>
      <c r="F305" s="148"/>
      <c r="G305" s="148">
        <f t="shared" si="6"/>
        <v>0</v>
      </c>
      <c r="H305" s="149"/>
      <c r="I305" s="149"/>
      <c r="J305" s="148"/>
      <c r="L305" s="376"/>
      <c r="M305" s="376"/>
    </row>
    <row r="306" spans="1:13" ht="15.75" hidden="1" customHeight="1">
      <c r="A306" s="145" t="s">
        <v>109</v>
      </c>
      <c r="B306" s="146" t="s">
        <v>110</v>
      </c>
      <c r="C306" s="147" t="e">
        <f>E306+G306+#REF!</f>
        <v>#REF!</v>
      </c>
      <c r="D306" s="147"/>
      <c r="E306" s="148"/>
      <c r="F306" s="148"/>
      <c r="G306" s="148">
        <f t="shared" si="6"/>
        <v>0</v>
      </c>
      <c r="H306" s="149"/>
      <c r="I306" s="149"/>
      <c r="J306" s="148"/>
      <c r="L306" s="376"/>
      <c r="M306" s="376"/>
    </row>
    <row r="307" spans="1:13" ht="15.75" hidden="1" customHeight="1">
      <c r="A307" s="145" t="s">
        <v>111</v>
      </c>
      <c r="B307" s="146" t="s">
        <v>112</v>
      </c>
      <c r="C307" s="147" t="e">
        <f>E307+G307+#REF!</f>
        <v>#REF!</v>
      </c>
      <c r="D307" s="147"/>
      <c r="E307" s="148"/>
      <c r="F307" s="148"/>
      <c r="G307" s="148">
        <f t="shared" si="6"/>
        <v>0</v>
      </c>
      <c r="H307" s="149"/>
      <c r="I307" s="149"/>
      <c r="J307" s="148"/>
      <c r="L307" s="376"/>
      <c r="M307" s="376"/>
    </row>
    <row r="308" spans="1:13" ht="15.75" hidden="1" customHeight="1">
      <c r="A308" s="145" t="s">
        <v>113</v>
      </c>
      <c r="B308" s="146" t="s">
        <v>114</v>
      </c>
      <c r="C308" s="147" t="e">
        <f>E308+G308+#REF!</f>
        <v>#REF!</v>
      </c>
      <c r="D308" s="147"/>
      <c r="E308" s="148"/>
      <c r="F308" s="148"/>
      <c r="G308" s="148">
        <f t="shared" si="6"/>
        <v>0</v>
      </c>
      <c r="H308" s="149"/>
      <c r="I308" s="149"/>
      <c r="J308" s="148"/>
      <c r="L308" s="376"/>
      <c r="M308" s="376"/>
    </row>
    <row r="309" spans="1:13" ht="15.75" hidden="1" customHeight="1">
      <c r="A309" s="145" t="s">
        <v>115</v>
      </c>
      <c r="B309" s="146" t="s">
        <v>116</v>
      </c>
      <c r="C309" s="147" t="e">
        <f>E309+G309+#REF!</f>
        <v>#REF!</v>
      </c>
      <c r="D309" s="147"/>
      <c r="E309" s="148"/>
      <c r="F309" s="148"/>
      <c r="G309" s="148">
        <f t="shared" si="6"/>
        <v>0</v>
      </c>
      <c r="H309" s="149"/>
      <c r="I309" s="149"/>
      <c r="J309" s="148"/>
      <c r="L309" s="376"/>
      <c r="M309" s="376"/>
    </row>
    <row r="310" spans="1:13" ht="15.75" hidden="1" customHeight="1">
      <c r="A310" s="145" t="s">
        <v>117</v>
      </c>
      <c r="B310" s="146" t="s">
        <v>118</v>
      </c>
      <c r="C310" s="147" t="e">
        <f>E310+G310+#REF!</f>
        <v>#REF!</v>
      </c>
      <c r="D310" s="147"/>
      <c r="E310" s="148"/>
      <c r="F310" s="148"/>
      <c r="G310" s="148">
        <f t="shared" si="6"/>
        <v>0</v>
      </c>
      <c r="H310" s="149"/>
      <c r="I310" s="149"/>
      <c r="J310" s="148"/>
      <c r="L310" s="376"/>
      <c r="M310" s="376"/>
    </row>
    <row r="311" spans="1:13" ht="15.75" hidden="1" customHeight="1">
      <c r="A311" s="145" t="s">
        <v>119</v>
      </c>
      <c r="B311" s="146" t="s">
        <v>120</v>
      </c>
      <c r="C311" s="147" t="e">
        <f>E311+G311+#REF!</f>
        <v>#REF!</v>
      </c>
      <c r="D311" s="147"/>
      <c r="E311" s="148"/>
      <c r="F311" s="148"/>
      <c r="G311" s="148">
        <f t="shared" si="6"/>
        <v>0</v>
      </c>
      <c r="H311" s="149"/>
      <c r="I311" s="149"/>
      <c r="J311" s="148"/>
      <c r="L311" s="376"/>
      <c r="M311" s="376"/>
    </row>
    <row r="312" spans="1:13" ht="15.75" hidden="1" customHeight="1">
      <c r="A312" s="145" t="s">
        <v>121</v>
      </c>
      <c r="B312" s="146" t="s">
        <v>122</v>
      </c>
      <c r="C312" s="147" t="e">
        <f>E312+G312+#REF!</f>
        <v>#REF!</v>
      </c>
      <c r="D312" s="147"/>
      <c r="E312" s="148"/>
      <c r="F312" s="148"/>
      <c r="G312" s="148">
        <f t="shared" si="6"/>
        <v>0</v>
      </c>
      <c r="H312" s="149"/>
      <c r="I312" s="149"/>
      <c r="J312" s="148"/>
      <c r="L312" s="376"/>
      <c r="M312" s="376"/>
    </row>
    <row r="313" spans="1:13" ht="15.75" hidden="1" customHeight="1">
      <c r="A313" s="145" t="s">
        <v>123</v>
      </c>
      <c r="B313" s="146" t="s">
        <v>124</v>
      </c>
      <c r="C313" s="147" t="e">
        <f>E313+G313+#REF!</f>
        <v>#REF!</v>
      </c>
      <c r="D313" s="147"/>
      <c r="E313" s="148"/>
      <c r="F313" s="148"/>
      <c r="G313" s="148">
        <f t="shared" si="6"/>
        <v>0</v>
      </c>
      <c r="H313" s="149"/>
      <c r="I313" s="149"/>
      <c r="J313" s="148"/>
      <c r="L313" s="376"/>
      <c r="M313" s="376"/>
    </row>
    <row r="314" spans="1:13" ht="15.75" hidden="1" customHeight="1">
      <c r="A314" s="145" t="s">
        <v>2375</v>
      </c>
      <c r="B314" s="146" t="s">
        <v>2376</v>
      </c>
      <c r="C314" s="147" t="e">
        <f>E314+G314+#REF!</f>
        <v>#REF!</v>
      </c>
      <c r="D314" s="147"/>
      <c r="E314" s="148"/>
      <c r="F314" s="148"/>
      <c r="G314" s="148">
        <f t="shared" si="6"/>
        <v>0</v>
      </c>
      <c r="H314" s="149"/>
      <c r="I314" s="149"/>
      <c r="J314" s="148"/>
      <c r="L314" s="376"/>
      <c r="M314" s="376"/>
    </row>
    <row r="315" spans="1:13" ht="15.75" hidden="1" customHeight="1">
      <c r="A315" s="145" t="s">
        <v>2377</v>
      </c>
      <c r="B315" s="146" t="s">
        <v>2378</v>
      </c>
      <c r="C315" s="147" t="e">
        <f>E315+G315+#REF!</f>
        <v>#REF!</v>
      </c>
      <c r="D315" s="147"/>
      <c r="E315" s="148"/>
      <c r="F315" s="148"/>
      <c r="G315" s="148">
        <f t="shared" si="6"/>
        <v>0</v>
      </c>
      <c r="H315" s="149"/>
      <c r="I315" s="149"/>
      <c r="J315" s="148"/>
      <c r="L315" s="376"/>
      <c r="M315" s="376"/>
    </row>
    <row r="316" spans="1:13" ht="15.75" hidden="1" customHeight="1">
      <c r="A316" s="145" t="s">
        <v>2379</v>
      </c>
      <c r="B316" s="146" t="s">
        <v>2380</v>
      </c>
      <c r="C316" s="147" t="e">
        <f>E316+G316+#REF!</f>
        <v>#REF!</v>
      </c>
      <c r="D316" s="147"/>
      <c r="E316" s="148"/>
      <c r="F316" s="148"/>
      <c r="G316" s="148">
        <f t="shared" si="6"/>
        <v>0</v>
      </c>
      <c r="H316" s="149"/>
      <c r="I316" s="149"/>
      <c r="J316" s="148"/>
      <c r="L316" s="376"/>
      <c r="M316" s="376"/>
    </row>
    <row r="317" spans="1:13" ht="16.5" hidden="1" customHeight="1">
      <c r="A317" s="145" t="s">
        <v>2381</v>
      </c>
      <c r="B317" s="146" t="s">
        <v>2382</v>
      </c>
      <c r="C317" s="147" t="e">
        <f>E317+G317+#REF!</f>
        <v>#REF!</v>
      </c>
      <c r="D317" s="147"/>
      <c r="E317" s="148"/>
      <c r="F317" s="148"/>
      <c r="G317" s="148">
        <f t="shared" si="6"/>
        <v>0</v>
      </c>
      <c r="H317" s="149"/>
      <c r="I317" s="149"/>
      <c r="J317" s="148"/>
      <c r="L317" s="376"/>
      <c r="M317" s="376"/>
    </row>
    <row r="318" spans="1:13" ht="15.75" hidden="1" customHeight="1">
      <c r="A318" s="145" t="s">
        <v>2383</v>
      </c>
      <c r="B318" s="146" t="s">
        <v>2384</v>
      </c>
      <c r="C318" s="147" t="e">
        <f>E318+G318+#REF!</f>
        <v>#REF!</v>
      </c>
      <c r="D318" s="147"/>
      <c r="E318" s="148"/>
      <c r="F318" s="148"/>
      <c r="G318" s="148">
        <f t="shared" si="6"/>
        <v>0</v>
      </c>
      <c r="H318" s="149"/>
      <c r="I318" s="149"/>
      <c r="J318" s="148"/>
      <c r="L318" s="376"/>
      <c r="M318" s="376"/>
    </row>
    <row r="319" spans="1:13" ht="15.75" hidden="1" customHeight="1">
      <c r="A319" s="145" t="s">
        <v>2385</v>
      </c>
      <c r="B319" s="146" t="s">
        <v>2386</v>
      </c>
      <c r="C319" s="147" t="e">
        <f>E319+G319+#REF!</f>
        <v>#REF!</v>
      </c>
      <c r="D319" s="147"/>
      <c r="E319" s="148"/>
      <c r="F319" s="148"/>
      <c r="G319" s="148">
        <f t="shared" si="6"/>
        <v>0</v>
      </c>
      <c r="H319" s="149"/>
      <c r="I319" s="149"/>
      <c r="J319" s="148"/>
      <c r="L319" s="376"/>
      <c r="M319" s="376"/>
    </row>
    <row r="320" spans="1:13" ht="15.75" hidden="1" customHeight="1">
      <c r="A320" s="145" t="s">
        <v>2387</v>
      </c>
      <c r="B320" s="146" t="s">
        <v>2388</v>
      </c>
      <c r="C320" s="147" t="e">
        <f>E320+G320+#REF!</f>
        <v>#REF!</v>
      </c>
      <c r="D320" s="147"/>
      <c r="E320" s="148"/>
      <c r="F320" s="148"/>
      <c r="G320" s="148">
        <f t="shared" si="6"/>
        <v>0</v>
      </c>
      <c r="H320" s="149"/>
      <c r="I320" s="149"/>
      <c r="J320" s="148"/>
      <c r="L320" s="376"/>
      <c r="M320" s="376"/>
    </row>
    <row r="321" spans="1:13" ht="15.75" hidden="1" customHeight="1">
      <c r="A321" s="145" t="s">
        <v>2389</v>
      </c>
      <c r="B321" s="146" t="s">
        <v>2390</v>
      </c>
      <c r="C321" s="147" t="e">
        <f>E321+G321+#REF!</f>
        <v>#REF!</v>
      </c>
      <c r="D321" s="147"/>
      <c r="E321" s="148"/>
      <c r="F321" s="148"/>
      <c r="G321" s="148">
        <f t="shared" si="6"/>
        <v>0</v>
      </c>
      <c r="H321" s="149"/>
      <c r="I321" s="149"/>
      <c r="J321" s="148"/>
      <c r="L321" s="376"/>
      <c r="M321" s="376"/>
    </row>
    <row r="322" spans="1:13" ht="15.75" hidden="1" customHeight="1">
      <c r="A322" s="145" t="s">
        <v>2391</v>
      </c>
      <c r="B322" s="146" t="s">
        <v>2392</v>
      </c>
      <c r="C322" s="147" t="e">
        <f>E322+G322+#REF!</f>
        <v>#REF!</v>
      </c>
      <c r="D322" s="147"/>
      <c r="E322" s="148"/>
      <c r="F322" s="148"/>
      <c r="G322" s="148">
        <f t="shared" si="6"/>
        <v>0</v>
      </c>
      <c r="H322" s="149"/>
      <c r="I322" s="149"/>
      <c r="J322" s="148"/>
      <c r="L322" s="376"/>
      <c r="M322" s="376"/>
    </row>
    <row r="323" spans="1:13" ht="15.75" hidden="1" customHeight="1">
      <c r="A323" s="145" t="s">
        <v>2393</v>
      </c>
      <c r="B323" s="146" t="s">
        <v>2394</v>
      </c>
      <c r="C323" s="147" t="e">
        <f>E323+G323+#REF!</f>
        <v>#REF!</v>
      </c>
      <c r="D323" s="147"/>
      <c r="E323" s="148"/>
      <c r="F323" s="148"/>
      <c r="G323" s="148">
        <f t="shared" si="6"/>
        <v>0</v>
      </c>
      <c r="H323" s="149"/>
      <c r="I323" s="149"/>
      <c r="J323" s="148"/>
      <c r="L323" s="376"/>
      <c r="M323" s="376"/>
    </row>
    <row r="324" spans="1:13" ht="15.75" hidden="1" customHeight="1">
      <c r="A324" s="145" t="s">
        <v>2395</v>
      </c>
      <c r="B324" s="146" t="s">
        <v>2396</v>
      </c>
      <c r="C324" s="147" t="e">
        <f>E324+G324+#REF!</f>
        <v>#REF!</v>
      </c>
      <c r="D324" s="147"/>
      <c r="E324" s="148"/>
      <c r="F324" s="148"/>
      <c r="G324" s="148">
        <f t="shared" si="6"/>
        <v>0</v>
      </c>
      <c r="H324" s="149"/>
      <c r="I324" s="149"/>
      <c r="J324" s="148"/>
      <c r="L324" s="376"/>
      <c r="M324" s="376"/>
    </row>
    <row r="325" spans="1:13" ht="15.75" hidden="1" customHeight="1">
      <c r="A325" s="145" t="s">
        <v>2397</v>
      </c>
      <c r="B325" s="146" t="s">
        <v>2398</v>
      </c>
      <c r="C325" s="147" t="e">
        <f>E325+G325+#REF!</f>
        <v>#REF!</v>
      </c>
      <c r="D325" s="147"/>
      <c r="E325" s="148"/>
      <c r="F325" s="148"/>
      <c r="G325" s="148">
        <f t="shared" si="6"/>
        <v>0</v>
      </c>
      <c r="H325" s="149"/>
      <c r="I325" s="149"/>
      <c r="J325" s="148"/>
      <c r="L325" s="376"/>
      <c r="M325" s="376"/>
    </row>
    <row r="326" spans="1:13" ht="15.75" hidden="1" customHeight="1">
      <c r="A326" s="145" t="s">
        <v>2399</v>
      </c>
      <c r="B326" s="146" t="s">
        <v>2400</v>
      </c>
      <c r="C326" s="147" t="e">
        <f>E326+G326+#REF!</f>
        <v>#REF!</v>
      </c>
      <c r="D326" s="147"/>
      <c r="E326" s="148"/>
      <c r="F326" s="148"/>
      <c r="G326" s="148">
        <f t="shared" si="6"/>
        <v>0</v>
      </c>
      <c r="H326" s="149"/>
      <c r="I326" s="149"/>
      <c r="J326" s="148"/>
      <c r="L326" s="376"/>
      <c r="M326" s="376"/>
    </row>
    <row r="327" spans="1:13" s="129" customFormat="1" ht="15.75" hidden="1" customHeight="1">
      <c r="A327" s="145" t="s">
        <v>2401</v>
      </c>
      <c r="B327" s="146" t="s">
        <v>2402</v>
      </c>
      <c r="C327" s="147" t="e">
        <f>E327+G327+#REF!</f>
        <v>#REF!</v>
      </c>
      <c r="D327" s="147"/>
      <c r="E327" s="148"/>
      <c r="F327" s="148"/>
      <c r="G327" s="148">
        <f t="shared" si="6"/>
        <v>0</v>
      </c>
      <c r="H327" s="149"/>
      <c r="I327" s="149"/>
      <c r="J327" s="148"/>
      <c r="L327" s="376"/>
      <c r="M327" s="376"/>
    </row>
    <row r="328" spans="1:13" s="129" customFormat="1" ht="15.75" hidden="1" customHeight="1">
      <c r="A328" s="145" t="s">
        <v>2403</v>
      </c>
      <c r="B328" s="146" t="s">
        <v>2404</v>
      </c>
      <c r="C328" s="147" t="e">
        <f>E328+G328+#REF!</f>
        <v>#REF!</v>
      </c>
      <c r="D328" s="147"/>
      <c r="E328" s="154"/>
      <c r="F328" s="154"/>
      <c r="G328" s="148">
        <f t="shared" si="6"/>
        <v>0</v>
      </c>
      <c r="H328" s="149"/>
      <c r="I328" s="149"/>
      <c r="J328" s="154"/>
      <c r="L328" s="376"/>
      <c r="M328" s="376"/>
    </row>
    <row r="329" spans="1:13" s="129" customFormat="1" ht="15.75" hidden="1" customHeight="1">
      <c r="A329" s="145" t="s">
        <v>2405</v>
      </c>
      <c r="B329" s="146" t="s">
        <v>2406</v>
      </c>
      <c r="C329" s="147" t="e">
        <f>E329+G329+#REF!</f>
        <v>#REF!</v>
      </c>
      <c r="D329" s="147"/>
      <c r="E329" s="154"/>
      <c r="F329" s="154"/>
      <c r="G329" s="148">
        <f t="shared" si="6"/>
        <v>0</v>
      </c>
      <c r="H329" s="149"/>
      <c r="I329" s="149"/>
      <c r="J329" s="154"/>
      <c r="L329" s="376"/>
      <c r="M329" s="376"/>
    </row>
    <row r="330" spans="1:13" s="129" customFormat="1" ht="15.75" hidden="1" customHeight="1">
      <c r="A330" s="145" t="s">
        <v>2407</v>
      </c>
      <c r="B330" s="146" t="s">
        <v>2408</v>
      </c>
      <c r="C330" s="147" t="e">
        <f>E330+G330+#REF!</f>
        <v>#REF!</v>
      </c>
      <c r="D330" s="147"/>
      <c r="E330" s="154"/>
      <c r="F330" s="154"/>
      <c r="G330" s="148">
        <f t="shared" si="6"/>
        <v>0</v>
      </c>
      <c r="H330" s="149"/>
      <c r="I330" s="149"/>
      <c r="J330" s="154"/>
      <c r="L330" s="376"/>
      <c r="M330" s="376"/>
    </row>
    <row r="331" spans="1:13" s="151" customFormat="1" ht="15.75" hidden="1" customHeight="1">
      <c r="A331" s="159" t="s">
        <v>2409</v>
      </c>
      <c r="B331" s="160" t="s">
        <v>2410</v>
      </c>
      <c r="C331" s="147" t="e">
        <f>E331+G331+#REF!</f>
        <v>#REF!</v>
      </c>
      <c r="D331" s="147"/>
      <c r="E331" s="154"/>
      <c r="F331" s="154"/>
      <c r="G331" s="148">
        <f t="shared" si="6"/>
        <v>0</v>
      </c>
      <c r="H331" s="149"/>
      <c r="I331" s="149"/>
      <c r="J331" s="154"/>
      <c r="L331" s="376"/>
      <c r="M331" s="376"/>
    </row>
    <row r="332" spans="1:13" s="129" customFormat="1" ht="15.75" hidden="1" customHeight="1">
      <c r="A332" s="145" t="s">
        <v>2411</v>
      </c>
      <c r="B332" s="146" t="s">
        <v>2412</v>
      </c>
      <c r="C332" s="147" t="e">
        <f>E332+G332+#REF!</f>
        <v>#REF!</v>
      </c>
      <c r="D332" s="147"/>
      <c r="E332" s="154"/>
      <c r="F332" s="154"/>
      <c r="G332" s="148">
        <f t="shared" si="6"/>
        <v>0</v>
      </c>
      <c r="H332" s="149"/>
      <c r="I332" s="149"/>
      <c r="J332" s="154"/>
      <c r="L332" s="376"/>
      <c r="M332" s="376"/>
    </row>
    <row r="333" spans="1:13" s="129" customFormat="1" ht="15.75" hidden="1" customHeight="1">
      <c r="A333" s="145" t="s">
        <v>2413</v>
      </c>
      <c r="B333" s="146" t="s">
        <v>2414</v>
      </c>
      <c r="C333" s="147" t="e">
        <f>E333+G333+#REF!</f>
        <v>#REF!</v>
      </c>
      <c r="D333" s="147"/>
      <c r="E333" s="154"/>
      <c r="F333" s="154"/>
      <c r="G333" s="148">
        <f t="shared" si="6"/>
        <v>0</v>
      </c>
      <c r="H333" s="149"/>
      <c r="I333" s="149"/>
      <c r="J333" s="154"/>
      <c r="L333" s="376"/>
      <c r="M333" s="376"/>
    </row>
    <row r="334" spans="1:13" s="129" customFormat="1" ht="15.75" hidden="1" customHeight="1">
      <c r="A334" s="145" t="s">
        <v>2415</v>
      </c>
      <c r="B334" s="146" t="s">
        <v>2416</v>
      </c>
      <c r="C334" s="147" t="e">
        <f>E334+G334+#REF!</f>
        <v>#REF!</v>
      </c>
      <c r="D334" s="147"/>
      <c r="E334" s="154"/>
      <c r="F334" s="154"/>
      <c r="G334" s="148">
        <f t="shared" si="6"/>
        <v>0</v>
      </c>
      <c r="H334" s="149"/>
      <c r="I334" s="149"/>
      <c r="J334" s="154"/>
      <c r="L334" s="376"/>
      <c r="M334" s="376"/>
    </row>
    <row r="335" spans="1:13" s="129" customFormat="1" ht="15.75" hidden="1" customHeight="1">
      <c r="A335" s="145" t="s">
        <v>2417</v>
      </c>
      <c r="B335" s="146" t="s">
        <v>2418</v>
      </c>
      <c r="C335" s="147" t="e">
        <f>E335+G335+#REF!</f>
        <v>#REF!</v>
      </c>
      <c r="D335" s="147"/>
      <c r="E335" s="154"/>
      <c r="F335" s="154"/>
      <c r="G335" s="148">
        <f t="shared" si="6"/>
        <v>0</v>
      </c>
      <c r="H335" s="149"/>
      <c r="I335" s="149"/>
      <c r="J335" s="154"/>
      <c r="L335" s="376"/>
      <c r="M335" s="376"/>
    </row>
    <row r="336" spans="1:13" s="129" customFormat="1" ht="15.75" hidden="1" customHeight="1">
      <c r="A336" s="145" t="s">
        <v>2419</v>
      </c>
      <c r="B336" s="146" t="s">
        <v>2420</v>
      </c>
      <c r="C336" s="147" t="e">
        <f>E336+G336+#REF!</f>
        <v>#REF!</v>
      </c>
      <c r="D336" s="147"/>
      <c r="E336" s="154"/>
      <c r="F336" s="154"/>
      <c r="G336" s="148">
        <f t="shared" si="6"/>
        <v>0</v>
      </c>
      <c r="H336" s="149"/>
      <c r="I336" s="149"/>
      <c r="J336" s="154"/>
      <c r="L336" s="376"/>
      <c r="M336" s="376"/>
    </row>
    <row r="337" spans="1:13" ht="15.75" hidden="1" customHeight="1">
      <c r="A337" s="145" t="s">
        <v>832</v>
      </c>
      <c r="B337" s="146" t="s">
        <v>833</v>
      </c>
      <c r="C337" s="147" t="e">
        <f>E337+G337+#REF!</f>
        <v>#REF!</v>
      </c>
      <c r="D337" s="147"/>
      <c r="E337" s="161"/>
      <c r="F337" s="161"/>
      <c r="G337" s="148">
        <f t="shared" si="6"/>
        <v>0</v>
      </c>
      <c r="H337" s="149"/>
      <c r="I337" s="149"/>
      <c r="J337" s="154"/>
      <c r="L337" s="376"/>
      <c r="M337" s="376"/>
    </row>
    <row r="338" spans="1:13" ht="15.75" hidden="1" customHeight="1">
      <c r="A338" s="145" t="s">
        <v>2276</v>
      </c>
      <c r="B338" s="146" t="s">
        <v>2277</v>
      </c>
      <c r="C338" s="147" t="e">
        <f>E338+G338+#REF!</f>
        <v>#REF!</v>
      </c>
      <c r="D338" s="147"/>
      <c r="E338" s="154"/>
      <c r="F338" s="154"/>
      <c r="G338" s="148">
        <f t="shared" si="6"/>
        <v>0</v>
      </c>
      <c r="H338" s="149"/>
      <c r="I338" s="149"/>
      <c r="J338" s="154"/>
      <c r="L338" s="376"/>
      <c r="M338" s="376"/>
    </row>
    <row r="339" spans="1:13" ht="15.75" hidden="1" customHeight="1">
      <c r="A339" s="145" t="s">
        <v>84</v>
      </c>
      <c r="B339" s="146" t="s">
        <v>85</v>
      </c>
      <c r="C339" s="147" t="e">
        <f>E339+G339+#REF!</f>
        <v>#REF!</v>
      </c>
      <c r="D339" s="147"/>
      <c r="E339" s="154"/>
      <c r="F339" s="154"/>
      <c r="G339" s="148">
        <f t="shared" si="6"/>
        <v>0</v>
      </c>
      <c r="H339" s="149"/>
      <c r="I339" s="149"/>
      <c r="J339" s="154"/>
      <c r="L339" s="376"/>
      <c r="M339" s="376"/>
    </row>
    <row r="340" spans="1:13" ht="15.75" hidden="1" customHeight="1">
      <c r="A340" s="145" t="s">
        <v>86</v>
      </c>
      <c r="B340" s="146" t="s">
        <v>87</v>
      </c>
      <c r="C340" s="147" t="e">
        <f>E340+G340+#REF!</f>
        <v>#REF!</v>
      </c>
      <c r="D340" s="147"/>
      <c r="E340" s="148"/>
      <c r="F340" s="148"/>
      <c r="G340" s="148">
        <f t="shared" si="6"/>
        <v>0</v>
      </c>
      <c r="H340" s="149"/>
      <c r="I340" s="149"/>
      <c r="J340" s="148"/>
      <c r="L340" s="376"/>
      <c r="M340" s="376"/>
    </row>
    <row r="341" spans="1:13" ht="15.75" hidden="1" customHeight="1">
      <c r="A341" s="145" t="s">
        <v>88</v>
      </c>
      <c r="B341" s="146" t="s">
        <v>89</v>
      </c>
      <c r="C341" s="147" t="e">
        <f>E341+G341+#REF!</f>
        <v>#REF!</v>
      </c>
      <c r="D341" s="147"/>
      <c r="E341" s="148"/>
      <c r="F341" s="148"/>
      <c r="G341" s="148">
        <f t="shared" si="6"/>
        <v>0</v>
      </c>
      <c r="H341" s="149"/>
      <c r="I341" s="149"/>
      <c r="J341" s="148"/>
      <c r="L341" s="376"/>
      <c r="M341" s="376"/>
    </row>
    <row r="342" spans="1:13" ht="15.75" hidden="1" customHeight="1">
      <c r="A342" s="145" t="s">
        <v>90</v>
      </c>
      <c r="B342" s="146" t="s">
        <v>91</v>
      </c>
      <c r="C342" s="147" t="e">
        <f>E342+G342+#REF!</f>
        <v>#REF!</v>
      </c>
      <c r="D342" s="147"/>
      <c r="E342" s="148"/>
      <c r="F342" s="148"/>
      <c r="G342" s="148">
        <f t="shared" si="6"/>
        <v>0</v>
      </c>
      <c r="H342" s="149"/>
      <c r="I342" s="149"/>
      <c r="J342" s="148"/>
      <c r="L342" s="376"/>
      <c r="M342" s="376"/>
    </row>
    <row r="343" spans="1:13" ht="15.75" hidden="1" customHeight="1">
      <c r="A343" s="145" t="s">
        <v>780</v>
      </c>
      <c r="B343" s="146" t="s">
        <v>781</v>
      </c>
      <c r="C343" s="147" t="e">
        <f>E343+G343+#REF!</f>
        <v>#REF!</v>
      </c>
      <c r="D343" s="147"/>
      <c r="E343" s="148"/>
      <c r="F343" s="148"/>
      <c r="G343" s="148">
        <f t="shared" si="6"/>
        <v>0</v>
      </c>
      <c r="H343" s="149"/>
      <c r="I343" s="149"/>
      <c r="J343" s="148"/>
      <c r="L343" s="376"/>
      <c r="M343" s="376"/>
    </row>
    <row r="344" spans="1:13" ht="15.75" hidden="1" customHeight="1">
      <c r="A344" s="145" t="s">
        <v>782</v>
      </c>
      <c r="B344" s="146" t="s">
        <v>783</v>
      </c>
      <c r="C344" s="147" t="e">
        <f>E344+G344+#REF!</f>
        <v>#REF!</v>
      </c>
      <c r="D344" s="147"/>
      <c r="E344" s="148"/>
      <c r="F344" s="148"/>
      <c r="G344" s="148">
        <f t="shared" si="6"/>
        <v>0</v>
      </c>
      <c r="H344" s="149"/>
      <c r="I344" s="149"/>
      <c r="J344" s="148"/>
      <c r="L344" s="376"/>
      <c r="M344" s="376"/>
    </row>
    <row r="345" spans="1:13" ht="15.75" hidden="1" customHeight="1">
      <c r="A345" s="145" t="s">
        <v>784</v>
      </c>
      <c r="B345" s="146" t="s">
        <v>785</v>
      </c>
      <c r="C345" s="147" t="e">
        <f>E345+G345+#REF!</f>
        <v>#REF!</v>
      </c>
      <c r="D345" s="147"/>
      <c r="E345" s="148"/>
      <c r="F345" s="148"/>
      <c r="G345" s="148">
        <f t="shared" ref="G345:G408" si="7">H345-I345</f>
        <v>0</v>
      </c>
      <c r="H345" s="149"/>
      <c r="I345" s="149"/>
      <c r="J345" s="148"/>
      <c r="L345" s="376"/>
      <c r="M345" s="376"/>
    </row>
    <row r="346" spans="1:13" ht="15.75" hidden="1" customHeight="1">
      <c r="A346" s="145" t="s">
        <v>786</v>
      </c>
      <c r="B346" s="146" t="s">
        <v>787</v>
      </c>
      <c r="C346" s="147" t="e">
        <f>E346+G346+#REF!</f>
        <v>#REF!</v>
      </c>
      <c r="D346" s="147"/>
      <c r="E346" s="148"/>
      <c r="F346" s="148"/>
      <c r="G346" s="148">
        <f t="shared" si="7"/>
        <v>0</v>
      </c>
      <c r="H346" s="149"/>
      <c r="I346" s="149"/>
      <c r="J346" s="148"/>
      <c r="L346" s="376"/>
      <c r="M346" s="376"/>
    </row>
    <row r="347" spans="1:13" ht="15.75" hidden="1" customHeight="1">
      <c r="A347" s="145" t="s">
        <v>788</v>
      </c>
      <c r="B347" s="146" t="s">
        <v>789</v>
      </c>
      <c r="C347" s="147" t="e">
        <f>E347+G347+#REF!</f>
        <v>#REF!</v>
      </c>
      <c r="D347" s="147"/>
      <c r="E347" s="148"/>
      <c r="F347" s="148"/>
      <c r="G347" s="148">
        <f t="shared" si="7"/>
        <v>0</v>
      </c>
      <c r="H347" s="149"/>
      <c r="I347" s="149"/>
      <c r="J347" s="148"/>
      <c r="L347" s="376"/>
      <c r="M347" s="376"/>
    </row>
    <row r="348" spans="1:13" ht="15.75" hidden="1" customHeight="1">
      <c r="A348" s="145" t="s">
        <v>790</v>
      </c>
      <c r="B348" s="146" t="s">
        <v>791</v>
      </c>
      <c r="C348" s="147" t="e">
        <f>E348+G348+#REF!</f>
        <v>#REF!</v>
      </c>
      <c r="D348" s="147"/>
      <c r="E348" s="148"/>
      <c r="F348" s="148"/>
      <c r="G348" s="148">
        <f t="shared" si="7"/>
        <v>0</v>
      </c>
      <c r="H348" s="149"/>
      <c r="I348" s="149"/>
      <c r="J348" s="148"/>
      <c r="L348" s="376"/>
      <c r="M348" s="376"/>
    </row>
    <row r="349" spans="1:13" ht="15.75" hidden="1" customHeight="1">
      <c r="A349" s="145" t="s">
        <v>792</v>
      </c>
      <c r="B349" s="146" t="s">
        <v>793</v>
      </c>
      <c r="C349" s="147" t="e">
        <f>E349+G349+#REF!</f>
        <v>#REF!</v>
      </c>
      <c r="D349" s="147"/>
      <c r="E349" s="148"/>
      <c r="F349" s="148"/>
      <c r="G349" s="148">
        <f t="shared" si="7"/>
        <v>0</v>
      </c>
      <c r="H349" s="149"/>
      <c r="I349" s="149"/>
      <c r="J349" s="148"/>
      <c r="L349" s="376"/>
      <c r="M349" s="376"/>
    </row>
    <row r="350" spans="1:13" ht="15.75" hidden="1" customHeight="1">
      <c r="A350" s="145" t="s">
        <v>794</v>
      </c>
      <c r="B350" s="146" t="s">
        <v>795</v>
      </c>
      <c r="C350" s="147" t="e">
        <f>E350+G350+#REF!</f>
        <v>#REF!</v>
      </c>
      <c r="D350" s="147"/>
      <c r="E350" s="148"/>
      <c r="F350" s="148"/>
      <c r="G350" s="148">
        <f t="shared" si="7"/>
        <v>0</v>
      </c>
      <c r="H350" s="149"/>
      <c r="I350" s="149"/>
      <c r="J350" s="148"/>
      <c r="L350" s="376"/>
      <c r="M350" s="376"/>
    </row>
    <row r="351" spans="1:13" ht="15.75" hidden="1" customHeight="1">
      <c r="A351" s="145" t="s">
        <v>796</v>
      </c>
      <c r="B351" s="146" t="s">
        <v>797</v>
      </c>
      <c r="C351" s="147" t="e">
        <f>E351+G351+#REF!</f>
        <v>#REF!</v>
      </c>
      <c r="D351" s="147"/>
      <c r="E351" s="148"/>
      <c r="F351" s="148"/>
      <c r="G351" s="148">
        <f t="shared" si="7"/>
        <v>0</v>
      </c>
      <c r="H351" s="149"/>
      <c r="I351" s="149"/>
      <c r="J351" s="148"/>
      <c r="L351" s="376"/>
      <c r="M351" s="376"/>
    </row>
    <row r="352" spans="1:13" ht="15.75" hidden="1" customHeight="1">
      <c r="A352" s="145" t="s">
        <v>2128</v>
      </c>
      <c r="B352" s="146" t="s">
        <v>2129</v>
      </c>
      <c r="C352" s="147" t="e">
        <f>E352+G352+#REF!</f>
        <v>#REF!</v>
      </c>
      <c r="D352" s="147"/>
      <c r="E352" s="148"/>
      <c r="F352" s="148"/>
      <c r="G352" s="148">
        <f t="shared" si="7"/>
        <v>0</v>
      </c>
      <c r="H352" s="149"/>
      <c r="I352" s="149"/>
      <c r="J352" s="148"/>
      <c r="L352" s="376"/>
      <c r="M352" s="376"/>
    </row>
    <row r="353" spans="1:13" ht="15.75" hidden="1" customHeight="1">
      <c r="A353" s="145" t="s">
        <v>2130</v>
      </c>
      <c r="B353" s="146" t="s">
        <v>2131</v>
      </c>
      <c r="C353" s="147" t="e">
        <f>E353+G353+#REF!</f>
        <v>#REF!</v>
      </c>
      <c r="D353" s="147"/>
      <c r="E353" s="148"/>
      <c r="F353" s="148"/>
      <c r="G353" s="148">
        <f t="shared" si="7"/>
        <v>0</v>
      </c>
      <c r="H353" s="149"/>
      <c r="I353" s="149"/>
      <c r="J353" s="148"/>
      <c r="L353" s="376"/>
      <c r="M353" s="376"/>
    </row>
    <row r="354" spans="1:13" ht="15.75" hidden="1" customHeight="1">
      <c r="A354" s="145" t="s">
        <v>1435</v>
      </c>
      <c r="B354" s="146" t="s">
        <v>1436</v>
      </c>
      <c r="C354" s="147" t="e">
        <f>E354+G354+#REF!</f>
        <v>#REF!</v>
      </c>
      <c r="D354" s="147"/>
      <c r="E354" s="148"/>
      <c r="F354" s="148"/>
      <c r="G354" s="148">
        <f t="shared" si="7"/>
        <v>0</v>
      </c>
      <c r="H354" s="149"/>
      <c r="I354" s="149"/>
      <c r="J354" s="148"/>
      <c r="L354" s="376"/>
      <c r="M354" s="376"/>
    </row>
    <row r="355" spans="1:13" ht="15.75" hidden="1" customHeight="1">
      <c r="A355" s="145" t="s">
        <v>1437</v>
      </c>
      <c r="B355" s="146" t="s">
        <v>1438</v>
      </c>
      <c r="C355" s="147" t="e">
        <f>E355+G355+#REF!</f>
        <v>#REF!</v>
      </c>
      <c r="D355" s="147"/>
      <c r="E355" s="148"/>
      <c r="F355" s="148"/>
      <c r="G355" s="148">
        <f t="shared" si="7"/>
        <v>0</v>
      </c>
      <c r="H355" s="149"/>
      <c r="I355" s="149"/>
      <c r="J355" s="148"/>
      <c r="L355" s="376"/>
      <c r="M355" s="376"/>
    </row>
    <row r="356" spans="1:13" ht="15.75" hidden="1" customHeight="1">
      <c r="A356" s="145" t="s">
        <v>2168</v>
      </c>
      <c r="B356" s="146" t="s">
        <v>2169</v>
      </c>
      <c r="C356" s="147" t="e">
        <f>E356+G356+#REF!</f>
        <v>#REF!</v>
      </c>
      <c r="D356" s="147"/>
      <c r="E356" s="148"/>
      <c r="F356" s="148"/>
      <c r="G356" s="148">
        <f t="shared" si="7"/>
        <v>0</v>
      </c>
      <c r="H356" s="149"/>
      <c r="I356" s="149"/>
      <c r="J356" s="148"/>
      <c r="L356" s="376"/>
      <c r="M356" s="376"/>
    </row>
    <row r="357" spans="1:13" ht="15.75" hidden="1" customHeight="1">
      <c r="A357" s="145" t="s">
        <v>2170</v>
      </c>
      <c r="B357" s="146" t="s">
        <v>2171</v>
      </c>
      <c r="C357" s="147" t="e">
        <f>E357+G357+#REF!</f>
        <v>#REF!</v>
      </c>
      <c r="D357" s="147"/>
      <c r="E357" s="148"/>
      <c r="F357" s="148"/>
      <c r="G357" s="148">
        <f t="shared" si="7"/>
        <v>0</v>
      </c>
      <c r="H357" s="149"/>
      <c r="I357" s="149"/>
      <c r="J357" s="148"/>
      <c r="L357" s="376"/>
      <c r="M357" s="376"/>
    </row>
    <row r="358" spans="1:13" ht="15.75" hidden="1" customHeight="1">
      <c r="A358" s="145" t="s">
        <v>1411</v>
      </c>
      <c r="B358" s="146" t="s">
        <v>2119</v>
      </c>
      <c r="C358" s="147" t="e">
        <f>E358+G358+#REF!</f>
        <v>#REF!</v>
      </c>
      <c r="D358" s="147"/>
      <c r="E358" s="148"/>
      <c r="F358" s="148"/>
      <c r="G358" s="148">
        <f t="shared" si="7"/>
        <v>0</v>
      </c>
      <c r="H358" s="149"/>
      <c r="I358" s="149"/>
      <c r="J358" s="148"/>
      <c r="L358" s="376"/>
      <c r="M358" s="376"/>
    </row>
    <row r="359" spans="1:13" ht="15.75" hidden="1" customHeight="1">
      <c r="A359" s="145" t="s">
        <v>2172</v>
      </c>
      <c r="B359" s="146" t="s">
        <v>2173</v>
      </c>
      <c r="C359" s="147" t="e">
        <f>E359+G359+#REF!</f>
        <v>#REF!</v>
      </c>
      <c r="D359" s="147"/>
      <c r="E359" s="148"/>
      <c r="F359" s="148"/>
      <c r="G359" s="148">
        <f t="shared" si="7"/>
        <v>0</v>
      </c>
      <c r="H359" s="149"/>
      <c r="I359" s="149"/>
      <c r="J359" s="148"/>
      <c r="L359" s="376"/>
      <c r="M359" s="376"/>
    </row>
    <row r="360" spans="1:13" ht="15.75" hidden="1" customHeight="1">
      <c r="A360" s="145" t="s">
        <v>2174</v>
      </c>
      <c r="B360" s="146" t="s">
        <v>2175</v>
      </c>
      <c r="C360" s="147" t="e">
        <f>E360+G360+#REF!</f>
        <v>#REF!</v>
      </c>
      <c r="D360" s="147"/>
      <c r="E360" s="148"/>
      <c r="F360" s="148"/>
      <c r="G360" s="148">
        <f t="shared" si="7"/>
        <v>0</v>
      </c>
      <c r="H360" s="149"/>
      <c r="I360" s="149"/>
      <c r="J360" s="148"/>
      <c r="L360" s="376"/>
      <c r="M360" s="376"/>
    </row>
    <row r="361" spans="1:13" ht="15.75" hidden="1" customHeight="1">
      <c r="A361" s="145" t="s">
        <v>2176</v>
      </c>
      <c r="B361" s="146" t="s">
        <v>2177</v>
      </c>
      <c r="C361" s="147" t="e">
        <f>E361+G361+#REF!</f>
        <v>#REF!</v>
      </c>
      <c r="D361" s="147"/>
      <c r="E361" s="148"/>
      <c r="F361" s="148"/>
      <c r="G361" s="148">
        <f t="shared" si="7"/>
        <v>0</v>
      </c>
      <c r="H361" s="149"/>
      <c r="I361" s="149"/>
      <c r="J361" s="148"/>
      <c r="L361" s="376"/>
      <c r="M361" s="376"/>
    </row>
    <row r="362" spans="1:13" ht="15.75" hidden="1" customHeight="1">
      <c r="A362" s="145" t="s">
        <v>2178</v>
      </c>
      <c r="B362" s="146" t="s">
        <v>2179</v>
      </c>
      <c r="C362" s="147" t="e">
        <f>E362+G362+#REF!</f>
        <v>#REF!</v>
      </c>
      <c r="D362" s="147"/>
      <c r="E362" s="148"/>
      <c r="F362" s="148"/>
      <c r="G362" s="148">
        <f t="shared" si="7"/>
        <v>0</v>
      </c>
      <c r="H362" s="149"/>
      <c r="I362" s="149"/>
      <c r="J362" s="148"/>
      <c r="L362" s="376"/>
      <c r="M362" s="376"/>
    </row>
    <row r="363" spans="1:13" ht="15.75" hidden="1" customHeight="1">
      <c r="A363" s="145" t="s">
        <v>2180</v>
      </c>
      <c r="B363" s="146" t="s">
        <v>2181</v>
      </c>
      <c r="C363" s="147" t="e">
        <f>E363+G363+#REF!</f>
        <v>#REF!</v>
      </c>
      <c r="D363" s="147"/>
      <c r="E363" s="148"/>
      <c r="F363" s="148"/>
      <c r="G363" s="148">
        <f t="shared" si="7"/>
        <v>0</v>
      </c>
      <c r="H363" s="149"/>
      <c r="I363" s="149"/>
      <c r="J363" s="148"/>
      <c r="L363" s="376"/>
      <c r="M363" s="376"/>
    </row>
    <row r="364" spans="1:13" ht="15.75" hidden="1" customHeight="1">
      <c r="A364" s="145" t="s">
        <v>2182</v>
      </c>
      <c r="B364" s="146" t="s">
        <v>2183</v>
      </c>
      <c r="C364" s="147" t="e">
        <f>E364+G364+#REF!</f>
        <v>#REF!</v>
      </c>
      <c r="D364" s="147"/>
      <c r="E364" s="148"/>
      <c r="F364" s="148"/>
      <c r="G364" s="148">
        <f t="shared" si="7"/>
        <v>0</v>
      </c>
      <c r="H364" s="149"/>
      <c r="I364" s="149"/>
      <c r="J364" s="148"/>
      <c r="L364" s="376"/>
      <c r="M364" s="376"/>
    </row>
    <row r="365" spans="1:13" ht="15.75" hidden="1" customHeight="1">
      <c r="A365" s="145" t="s">
        <v>2184</v>
      </c>
      <c r="B365" s="146" t="s">
        <v>2185</v>
      </c>
      <c r="C365" s="147" t="e">
        <f>E365+G365+#REF!</f>
        <v>#REF!</v>
      </c>
      <c r="D365" s="147"/>
      <c r="E365" s="148"/>
      <c r="F365" s="148"/>
      <c r="G365" s="148">
        <f t="shared" si="7"/>
        <v>0</v>
      </c>
      <c r="H365" s="149"/>
      <c r="I365" s="149"/>
      <c r="J365" s="148"/>
      <c r="L365" s="376"/>
      <c r="M365" s="376"/>
    </row>
    <row r="366" spans="1:13" ht="15.75" hidden="1" customHeight="1">
      <c r="A366" s="145" t="s">
        <v>56</v>
      </c>
      <c r="B366" s="146" t="s">
        <v>57</v>
      </c>
      <c r="C366" s="147" t="e">
        <f>E366+G366+#REF!</f>
        <v>#REF!</v>
      </c>
      <c r="D366" s="147"/>
      <c r="E366" s="148"/>
      <c r="F366" s="148"/>
      <c r="G366" s="148">
        <f t="shared" si="7"/>
        <v>0</v>
      </c>
      <c r="H366" s="149"/>
      <c r="I366" s="149"/>
      <c r="J366" s="148"/>
      <c r="L366" s="376"/>
      <c r="M366" s="376"/>
    </row>
    <row r="367" spans="1:13" ht="15" hidden="1" customHeight="1">
      <c r="A367" s="145" t="s">
        <v>58</v>
      </c>
      <c r="B367" s="146" t="s">
        <v>59</v>
      </c>
      <c r="C367" s="147" t="e">
        <f>E367+G367+#REF!</f>
        <v>#REF!</v>
      </c>
      <c r="D367" s="147"/>
      <c r="E367" s="148"/>
      <c r="F367" s="148"/>
      <c r="G367" s="148">
        <f t="shared" si="7"/>
        <v>0</v>
      </c>
      <c r="H367" s="149"/>
      <c r="I367" s="149"/>
      <c r="J367" s="148"/>
      <c r="L367" s="376"/>
      <c r="M367" s="376"/>
    </row>
    <row r="368" spans="1:13" ht="15.75" hidden="1" customHeight="1">
      <c r="A368" s="145" t="s">
        <v>60</v>
      </c>
      <c r="B368" s="146" t="s">
        <v>61</v>
      </c>
      <c r="C368" s="147" t="e">
        <f>E368+G368+#REF!</f>
        <v>#REF!</v>
      </c>
      <c r="D368" s="147"/>
      <c r="E368" s="148"/>
      <c r="F368" s="148"/>
      <c r="G368" s="148">
        <f t="shared" si="7"/>
        <v>0</v>
      </c>
      <c r="H368" s="149"/>
      <c r="I368" s="149"/>
      <c r="J368" s="148"/>
      <c r="L368" s="376"/>
      <c r="M368" s="376"/>
    </row>
    <row r="369" spans="1:13" ht="15.75" hidden="1" customHeight="1">
      <c r="A369" s="145" t="s">
        <v>62</v>
      </c>
      <c r="B369" s="146" t="s">
        <v>63</v>
      </c>
      <c r="C369" s="147" t="e">
        <f>E369+G369+#REF!</f>
        <v>#REF!</v>
      </c>
      <c r="D369" s="147"/>
      <c r="E369" s="148"/>
      <c r="F369" s="148"/>
      <c r="G369" s="148">
        <f t="shared" si="7"/>
        <v>0</v>
      </c>
      <c r="H369" s="149"/>
      <c r="I369" s="149"/>
      <c r="J369" s="148"/>
      <c r="L369" s="376"/>
      <c r="M369" s="376"/>
    </row>
    <row r="370" spans="1:13" ht="15.75" hidden="1" customHeight="1">
      <c r="A370" s="145" t="s">
        <v>64</v>
      </c>
      <c r="B370" s="146" t="s">
        <v>65</v>
      </c>
      <c r="C370" s="147" t="e">
        <f>E370+G370+#REF!</f>
        <v>#REF!</v>
      </c>
      <c r="D370" s="147"/>
      <c r="E370" s="148"/>
      <c r="F370" s="148"/>
      <c r="G370" s="148">
        <f t="shared" si="7"/>
        <v>0</v>
      </c>
      <c r="H370" s="149"/>
      <c r="I370" s="149"/>
      <c r="J370" s="148"/>
      <c r="L370" s="376"/>
      <c r="M370" s="376"/>
    </row>
    <row r="371" spans="1:13" ht="15.75" hidden="1" customHeight="1">
      <c r="A371" s="145" t="s">
        <v>66</v>
      </c>
      <c r="B371" s="146" t="s">
        <v>67</v>
      </c>
      <c r="C371" s="147" t="e">
        <f>E371+G371+#REF!</f>
        <v>#REF!</v>
      </c>
      <c r="D371" s="147"/>
      <c r="E371" s="148"/>
      <c r="F371" s="148"/>
      <c r="G371" s="148">
        <f t="shared" si="7"/>
        <v>0</v>
      </c>
      <c r="H371" s="149"/>
      <c r="I371" s="149"/>
      <c r="J371" s="148"/>
      <c r="L371" s="376"/>
      <c r="M371" s="376"/>
    </row>
    <row r="372" spans="1:13" ht="15.75" hidden="1" customHeight="1">
      <c r="A372" s="145" t="s">
        <v>68</v>
      </c>
      <c r="B372" s="146" t="s">
        <v>69</v>
      </c>
      <c r="C372" s="147" t="e">
        <f>E372+G372+#REF!</f>
        <v>#REF!</v>
      </c>
      <c r="D372" s="147"/>
      <c r="E372" s="148"/>
      <c r="F372" s="148"/>
      <c r="G372" s="148">
        <f t="shared" si="7"/>
        <v>0</v>
      </c>
      <c r="H372" s="149"/>
      <c r="I372" s="149"/>
      <c r="J372" s="148"/>
      <c r="L372" s="376"/>
      <c r="M372" s="376"/>
    </row>
    <row r="373" spans="1:13" ht="15.75" hidden="1" customHeight="1">
      <c r="A373" s="145" t="s">
        <v>70</v>
      </c>
      <c r="B373" s="146" t="s">
        <v>71</v>
      </c>
      <c r="C373" s="147" t="e">
        <f>E373+G373+#REF!</f>
        <v>#REF!</v>
      </c>
      <c r="D373" s="147"/>
      <c r="E373" s="148"/>
      <c r="F373" s="148"/>
      <c r="G373" s="148">
        <f t="shared" si="7"/>
        <v>0</v>
      </c>
      <c r="H373" s="149"/>
      <c r="I373" s="149"/>
      <c r="J373" s="148"/>
      <c r="L373" s="376"/>
      <c r="M373" s="376"/>
    </row>
    <row r="374" spans="1:13" ht="15.75" hidden="1" customHeight="1">
      <c r="A374" s="145" t="s">
        <v>72</v>
      </c>
      <c r="B374" s="146" t="s">
        <v>73</v>
      </c>
      <c r="C374" s="147" t="e">
        <f>E374+G374+#REF!</f>
        <v>#REF!</v>
      </c>
      <c r="D374" s="147"/>
      <c r="E374" s="148"/>
      <c r="F374" s="148"/>
      <c r="G374" s="148">
        <f t="shared" si="7"/>
        <v>0</v>
      </c>
      <c r="H374" s="149"/>
      <c r="I374" s="149"/>
      <c r="J374" s="148"/>
      <c r="L374" s="376"/>
      <c r="M374" s="376"/>
    </row>
    <row r="375" spans="1:13" ht="15.75" hidden="1" customHeight="1">
      <c r="A375" s="145" t="s">
        <v>74</v>
      </c>
      <c r="B375" s="146" t="s">
        <v>75</v>
      </c>
      <c r="C375" s="147" t="e">
        <f>E375+G375+#REF!</f>
        <v>#REF!</v>
      </c>
      <c r="D375" s="147"/>
      <c r="E375" s="148"/>
      <c r="F375" s="148"/>
      <c r="G375" s="148">
        <f t="shared" si="7"/>
        <v>0</v>
      </c>
      <c r="H375" s="149"/>
      <c r="I375" s="149"/>
      <c r="J375" s="148"/>
      <c r="L375" s="376"/>
      <c r="M375" s="376"/>
    </row>
    <row r="376" spans="1:13" ht="15.75" hidden="1" customHeight="1">
      <c r="A376" s="145" t="s">
        <v>76</v>
      </c>
      <c r="B376" s="146" t="s">
        <v>77</v>
      </c>
      <c r="C376" s="147" t="e">
        <f>E376+G376+#REF!</f>
        <v>#REF!</v>
      </c>
      <c r="D376" s="147"/>
      <c r="E376" s="148"/>
      <c r="F376" s="148"/>
      <c r="G376" s="148">
        <f t="shared" si="7"/>
        <v>0</v>
      </c>
      <c r="H376" s="149"/>
      <c r="I376" s="149"/>
      <c r="J376" s="148"/>
      <c r="L376" s="376"/>
      <c r="M376" s="376"/>
    </row>
    <row r="377" spans="1:13" ht="15.75" hidden="1" customHeight="1">
      <c r="A377" s="145" t="s">
        <v>78</v>
      </c>
      <c r="B377" s="146" t="s">
        <v>79</v>
      </c>
      <c r="C377" s="147" t="e">
        <f>E377+G377+#REF!</f>
        <v>#REF!</v>
      </c>
      <c r="D377" s="147"/>
      <c r="E377" s="148"/>
      <c r="F377" s="148"/>
      <c r="G377" s="148">
        <f t="shared" si="7"/>
        <v>0</v>
      </c>
      <c r="H377" s="149"/>
      <c r="I377" s="149"/>
      <c r="J377" s="148"/>
      <c r="L377" s="376"/>
      <c r="M377" s="376"/>
    </row>
    <row r="378" spans="1:13" ht="15.75" hidden="1" customHeight="1">
      <c r="A378" s="145" t="s">
        <v>80</v>
      </c>
      <c r="B378" s="146" t="s">
        <v>81</v>
      </c>
      <c r="C378" s="147" t="e">
        <f>E378+G378+#REF!</f>
        <v>#REF!</v>
      </c>
      <c r="D378" s="147"/>
      <c r="E378" s="148"/>
      <c r="F378" s="148"/>
      <c r="G378" s="148">
        <f t="shared" si="7"/>
        <v>0</v>
      </c>
      <c r="H378" s="149"/>
      <c r="I378" s="149"/>
      <c r="J378" s="148"/>
      <c r="L378" s="376"/>
      <c r="M378" s="376"/>
    </row>
    <row r="379" spans="1:13" ht="15.75" hidden="1" customHeight="1">
      <c r="A379" s="145" t="s">
        <v>82</v>
      </c>
      <c r="B379" s="146" t="s">
        <v>83</v>
      </c>
      <c r="C379" s="147" t="e">
        <f>E379+G379+#REF!</f>
        <v>#REF!</v>
      </c>
      <c r="D379" s="147"/>
      <c r="E379" s="148"/>
      <c r="F379" s="148"/>
      <c r="G379" s="148">
        <f t="shared" si="7"/>
        <v>0</v>
      </c>
      <c r="H379" s="149"/>
      <c r="I379" s="149"/>
      <c r="J379" s="148"/>
      <c r="L379" s="376"/>
      <c r="M379" s="376"/>
    </row>
    <row r="380" spans="1:13" ht="15.75" hidden="1" customHeight="1">
      <c r="A380" s="145" t="s">
        <v>1569</v>
      </c>
      <c r="B380" s="146" t="s">
        <v>1570</v>
      </c>
      <c r="C380" s="147" t="e">
        <f>E380+G380+#REF!</f>
        <v>#REF!</v>
      </c>
      <c r="D380" s="147"/>
      <c r="E380" s="148"/>
      <c r="F380" s="148"/>
      <c r="G380" s="148">
        <f t="shared" si="7"/>
        <v>0</v>
      </c>
      <c r="H380" s="149"/>
      <c r="I380" s="149"/>
      <c r="J380" s="148"/>
      <c r="L380" s="376"/>
      <c r="M380" s="376"/>
    </row>
    <row r="381" spans="1:13" ht="15.75" hidden="1" customHeight="1">
      <c r="A381" s="145" t="s">
        <v>1571</v>
      </c>
      <c r="B381" s="146" t="s">
        <v>1572</v>
      </c>
      <c r="C381" s="147" t="e">
        <f>E381+G381+#REF!</f>
        <v>#REF!</v>
      </c>
      <c r="D381" s="147"/>
      <c r="E381" s="148"/>
      <c r="F381" s="148"/>
      <c r="G381" s="148">
        <f t="shared" si="7"/>
        <v>0</v>
      </c>
      <c r="H381" s="149"/>
      <c r="I381" s="149"/>
      <c r="J381" s="148"/>
      <c r="L381" s="376"/>
      <c r="M381" s="376"/>
    </row>
    <row r="382" spans="1:13" ht="15.75" hidden="1" customHeight="1">
      <c r="A382" s="145" t="s">
        <v>1573</v>
      </c>
      <c r="B382" s="146" t="s">
        <v>1574</v>
      </c>
      <c r="C382" s="147" t="e">
        <f>E382+G382+#REF!</f>
        <v>#REF!</v>
      </c>
      <c r="D382" s="147"/>
      <c r="E382" s="148"/>
      <c r="F382" s="148"/>
      <c r="G382" s="148">
        <f t="shared" si="7"/>
        <v>0</v>
      </c>
      <c r="H382" s="149"/>
      <c r="I382" s="149"/>
      <c r="J382" s="148"/>
      <c r="L382" s="376"/>
      <c r="M382" s="376"/>
    </row>
    <row r="383" spans="1:13" ht="15.75" hidden="1" customHeight="1">
      <c r="A383" s="145" t="s">
        <v>1575</v>
      </c>
      <c r="B383" s="146" t="s">
        <v>1576</v>
      </c>
      <c r="C383" s="147" t="e">
        <f>E383+G383+#REF!</f>
        <v>#REF!</v>
      </c>
      <c r="D383" s="147"/>
      <c r="E383" s="148"/>
      <c r="F383" s="148"/>
      <c r="G383" s="148">
        <f t="shared" si="7"/>
        <v>0</v>
      </c>
      <c r="H383" s="149"/>
      <c r="I383" s="149"/>
      <c r="J383" s="148"/>
      <c r="L383" s="376"/>
      <c r="M383" s="376"/>
    </row>
    <row r="384" spans="1:13" ht="15.75" hidden="1" customHeight="1">
      <c r="A384" s="145" t="s">
        <v>1577</v>
      </c>
      <c r="B384" s="146" t="s">
        <v>1578</v>
      </c>
      <c r="C384" s="147" t="e">
        <f>E384+G384+#REF!</f>
        <v>#REF!</v>
      </c>
      <c r="D384" s="147"/>
      <c r="E384" s="148"/>
      <c r="F384" s="148"/>
      <c r="G384" s="148">
        <f t="shared" si="7"/>
        <v>0</v>
      </c>
      <c r="H384" s="149"/>
      <c r="I384" s="149"/>
      <c r="J384" s="148"/>
      <c r="L384" s="376"/>
      <c r="M384" s="376"/>
    </row>
    <row r="385" spans="1:13" ht="15.75" hidden="1" customHeight="1">
      <c r="A385" s="145" t="s">
        <v>1579</v>
      </c>
      <c r="B385" s="146" t="s">
        <v>1580</v>
      </c>
      <c r="C385" s="147" t="e">
        <f>E385+G385+#REF!</f>
        <v>#REF!</v>
      </c>
      <c r="D385" s="147"/>
      <c r="E385" s="148"/>
      <c r="F385" s="148"/>
      <c r="G385" s="148">
        <f t="shared" si="7"/>
        <v>0</v>
      </c>
      <c r="H385" s="149"/>
      <c r="I385" s="149"/>
      <c r="J385" s="148"/>
      <c r="L385" s="376"/>
      <c r="M385" s="376"/>
    </row>
    <row r="386" spans="1:13" ht="15.75" hidden="1" customHeight="1">
      <c r="A386" s="145" t="s">
        <v>1581</v>
      </c>
      <c r="B386" s="146" t="s">
        <v>1582</v>
      </c>
      <c r="C386" s="147" t="e">
        <f>E386+G386+#REF!</f>
        <v>#REF!</v>
      </c>
      <c r="D386" s="147"/>
      <c r="E386" s="148"/>
      <c r="F386" s="148"/>
      <c r="G386" s="148">
        <f t="shared" si="7"/>
        <v>0</v>
      </c>
      <c r="H386" s="149"/>
      <c r="I386" s="149"/>
      <c r="J386" s="148"/>
      <c r="L386" s="376"/>
      <c r="M386" s="376"/>
    </row>
    <row r="387" spans="1:13" ht="15.75" hidden="1" customHeight="1">
      <c r="A387" s="145" t="s">
        <v>1583</v>
      </c>
      <c r="B387" s="146" t="s">
        <v>1584</v>
      </c>
      <c r="C387" s="147" t="e">
        <f>E387+G387+#REF!</f>
        <v>#REF!</v>
      </c>
      <c r="D387" s="147"/>
      <c r="E387" s="148"/>
      <c r="F387" s="148"/>
      <c r="G387" s="148">
        <f t="shared" si="7"/>
        <v>0</v>
      </c>
      <c r="H387" s="149"/>
      <c r="I387" s="149"/>
      <c r="J387" s="148"/>
      <c r="L387" s="376"/>
      <c r="M387" s="376"/>
    </row>
    <row r="388" spans="1:13" ht="15.75" hidden="1" customHeight="1">
      <c r="A388" s="145" t="s">
        <v>1585</v>
      </c>
      <c r="B388" s="146" t="s">
        <v>1586</v>
      </c>
      <c r="C388" s="147" t="e">
        <f>E388+G388+#REF!</f>
        <v>#REF!</v>
      </c>
      <c r="D388" s="147"/>
      <c r="E388" s="148"/>
      <c r="F388" s="148"/>
      <c r="G388" s="148">
        <f t="shared" si="7"/>
        <v>0</v>
      </c>
      <c r="H388" s="149"/>
      <c r="I388" s="149"/>
      <c r="J388" s="148"/>
      <c r="L388" s="376"/>
      <c r="M388" s="376"/>
    </row>
    <row r="389" spans="1:13" ht="15.75" hidden="1" customHeight="1">
      <c r="A389" s="145" t="s">
        <v>1587</v>
      </c>
      <c r="B389" s="146" t="s">
        <v>1588</v>
      </c>
      <c r="C389" s="147" t="e">
        <f>E389+G389+#REF!</f>
        <v>#REF!</v>
      </c>
      <c r="D389" s="147"/>
      <c r="E389" s="148"/>
      <c r="F389" s="148"/>
      <c r="G389" s="148">
        <f t="shared" si="7"/>
        <v>0</v>
      </c>
      <c r="H389" s="149"/>
      <c r="I389" s="149"/>
      <c r="J389" s="148"/>
      <c r="L389" s="376"/>
      <c r="M389" s="376"/>
    </row>
    <row r="390" spans="1:13" ht="16.5" hidden="1" customHeight="1">
      <c r="A390" s="145" t="s">
        <v>92</v>
      </c>
      <c r="B390" s="146" t="s">
        <v>93</v>
      </c>
      <c r="C390" s="147" t="e">
        <f>E390+G390+#REF!</f>
        <v>#REF!</v>
      </c>
      <c r="D390" s="147"/>
      <c r="E390" s="148"/>
      <c r="F390" s="148"/>
      <c r="G390" s="148">
        <f t="shared" si="7"/>
        <v>0</v>
      </c>
      <c r="H390" s="149"/>
      <c r="I390" s="149"/>
      <c r="J390" s="148"/>
      <c r="L390" s="376"/>
      <c r="M390" s="376"/>
    </row>
    <row r="391" spans="1:13" ht="15.75" hidden="1" customHeight="1">
      <c r="A391" s="145" t="s">
        <v>94</v>
      </c>
      <c r="B391" s="146" t="s">
        <v>95</v>
      </c>
      <c r="C391" s="147" t="e">
        <f>E391+G391+#REF!</f>
        <v>#REF!</v>
      </c>
      <c r="D391" s="147"/>
      <c r="E391" s="148"/>
      <c r="F391" s="148"/>
      <c r="G391" s="148">
        <f t="shared" si="7"/>
        <v>0</v>
      </c>
      <c r="H391" s="149"/>
      <c r="I391" s="149"/>
      <c r="J391" s="148"/>
      <c r="L391" s="376"/>
      <c r="M391" s="376"/>
    </row>
    <row r="392" spans="1:13" ht="15.75" hidden="1" customHeight="1">
      <c r="A392" s="145" t="s">
        <v>1203</v>
      </c>
      <c r="B392" s="146" t="s">
        <v>1204</v>
      </c>
      <c r="C392" s="147" t="e">
        <f>E392+G392+#REF!</f>
        <v>#REF!</v>
      </c>
      <c r="D392" s="147"/>
      <c r="E392" s="148"/>
      <c r="F392" s="148"/>
      <c r="G392" s="148">
        <f t="shared" si="7"/>
        <v>0</v>
      </c>
      <c r="H392" s="149"/>
      <c r="I392" s="149"/>
      <c r="J392" s="148"/>
      <c r="L392" s="376"/>
      <c r="M392" s="376"/>
    </row>
    <row r="393" spans="1:13" ht="15.75" hidden="1" customHeight="1">
      <c r="A393" s="145" t="s">
        <v>1205</v>
      </c>
      <c r="B393" s="146" t="s">
        <v>1206</v>
      </c>
      <c r="C393" s="147" t="e">
        <f>E393+G393+#REF!</f>
        <v>#REF!</v>
      </c>
      <c r="D393" s="147"/>
      <c r="E393" s="148"/>
      <c r="F393" s="148"/>
      <c r="G393" s="148">
        <f t="shared" si="7"/>
        <v>0</v>
      </c>
      <c r="H393" s="149"/>
      <c r="I393" s="149"/>
      <c r="J393" s="148"/>
      <c r="L393" s="376"/>
      <c r="M393" s="376"/>
    </row>
    <row r="394" spans="1:13" ht="15.75" hidden="1" customHeight="1">
      <c r="A394" s="145" t="s">
        <v>1207</v>
      </c>
      <c r="B394" s="146" t="s">
        <v>1208</v>
      </c>
      <c r="C394" s="147" t="e">
        <f>E394+G394+#REF!</f>
        <v>#REF!</v>
      </c>
      <c r="D394" s="147"/>
      <c r="E394" s="148"/>
      <c r="F394" s="148"/>
      <c r="G394" s="148">
        <f t="shared" si="7"/>
        <v>0</v>
      </c>
      <c r="H394" s="149"/>
      <c r="I394" s="149"/>
      <c r="J394" s="148"/>
      <c r="L394" s="376"/>
      <c r="M394" s="376"/>
    </row>
    <row r="395" spans="1:13" ht="15.75" hidden="1" customHeight="1">
      <c r="A395" s="145" t="s">
        <v>1209</v>
      </c>
      <c r="B395" s="146" t="s">
        <v>1210</v>
      </c>
      <c r="C395" s="147" t="e">
        <f>E395+G395+#REF!</f>
        <v>#REF!</v>
      </c>
      <c r="D395" s="147"/>
      <c r="E395" s="148"/>
      <c r="F395" s="148"/>
      <c r="G395" s="148">
        <f t="shared" si="7"/>
        <v>0</v>
      </c>
      <c r="H395" s="149"/>
      <c r="I395" s="149"/>
      <c r="J395" s="148"/>
      <c r="L395" s="376"/>
      <c r="M395" s="376"/>
    </row>
    <row r="396" spans="1:13" ht="15.75" hidden="1" customHeight="1">
      <c r="A396" s="145" t="s">
        <v>1211</v>
      </c>
      <c r="B396" s="146" t="s">
        <v>1212</v>
      </c>
      <c r="C396" s="147" t="e">
        <f>E396+G396+#REF!</f>
        <v>#REF!</v>
      </c>
      <c r="D396" s="147"/>
      <c r="E396" s="148"/>
      <c r="F396" s="148"/>
      <c r="G396" s="148">
        <f t="shared" si="7"/>
        <v>0</v>
      </c>
      <c r="H396" s="149"/>
      <c r="I396" s="149"/>
      <c r="J396" s="148"/>
      <c r="L396" s="376"/>
      <c r="M396" s="376"/>
    </row>
    <row r="397" spans="1:13" ht="15.75" hidden="1" customHeight="1">
      <c r="A397" s="145" t="s">
        <v>1213</v>
      </c>
      <c r="B397" s="146" t="s">
        <v>1214</v>
      </c>
      <c r="C397" s="147" t="e">
        <f>E397+G397+#REF!</f>
        <v>#REF!</v>
      </c>
      <c r="D397" s="147"/>
      <c r="E397" s="148"/>
      <c r="F397" s="148"/>
      <c r="G397" s="148">
        <f t="shared" si="7"/>
        <v>0</v>
      </c>
      <c r="H397" s="149"/>
      <c r="I397" s="149"/>
      <c r="J397" s="148"/>
      <c r="L397" s="376"/>
      <c r="M397" s="376"/>
    </row>
    <row r="398" spans="1:13" ht="15.75" hidden="1" customHeight="1">
      <c r="A398" s="145" t="s">
        <v>1215</v>
      </c>
      <c r="B398" s="146" t="s">
        <v>1216</v>
      </c>
      <c r="C398" s="147" t="e">
        <f>E398+G398+#REF!</f>
        <v>#REF!</v>
      </c>
      <c r="D398" s="147"/>
      <c r="E398" s="148"/>
      <c r="F398" s="148"/>
      <c r="G398" s="148">
        <f t="shared" si="7"/>
        <v>0</v>
      </c>
      <c r="H398" s="149"/>
      <c r="I398" s="149"/>
      <c r="J398" s="148"/>
      <c r="L398" s="376"/>
      <c r="M398" s="376"/>
    </row>
    <row r="399" spans="1:13" ht="15.75" hidden="1" customHeight="1">
      <c r="A399" s="145" t="s">
        <v>1217</v>
      </c>
      <c r="B399" s="146" t="s">
        <v>1218</v>
      </c>
      <c r="C399" s="147" t="e">
        <f>E399+G399+#REF!</f>
        <v>#REF!</v>
      </c>
      <c r="D399" s="147"/>
      <c r="E399" s="148"/>
      <c r="F399" s="148"/>
      <c r="G399" s="148">
        <f t="shared" si="7"/>
        <v>0</v>
      </c>
      <c r="H399" s="149"/>
      <c r="I399" s="149"/>
      <c r="J399" s="148"/>
      <c r="L399" s="376"/>
      <c r="M399" s="376"/>
    </row>
    <row r="400" spans="1:13" ht="15.75" hidden="1" customHeight="1">
      <c r="A400" s="145" t="s">
        <v>1219</v>
      </c>
      <c r="B400" s="146" t="s">
        <v>1220</v>
      </c>
      <c r="C400" s="147" t="e">
        <f>E400+G400+#REF!</f>
        <v>#REF!</v>
      </c>
      <c r="D400" s="147"/>
      <c r="E400" s="148"/>
      <c r="F400" s="148"/>
      <c r="G400" s="148">
        <f t="shared" si="7"/>
        <v>0</v>
      </c>
      <c r="H400" s="149"/>
      <c r="I400" s="149"/>
      <c r="J400" s="148"/>
      <c r="L400" s="376"/>
      <c r="M400" s="376"/>
    </row>
    <row r="401" spans="1:13" ht="15.75" hidden="1" customHeight="1">
      <c r="A401" s="145" t="s">
        <v>1793</v>
      </c>
      <c r="B401" s="146" t="s">
        <v>1794</v>
      </c>
      <c r="C401" s="147" t="e">
        <f>E401+G401+#REF!</f>
        <v>#REF!</v>
      </c>
      <c r="D401" s="147"/>
      <c r="E401" s="148"/>
      <c r="F401" s="148"/>
      <c r="G401" s="148">
        <f t="shared" si="7"/>
        <v>0</v>
      </c>
      <c r="H401" s="149"/>
      <c r="I401" s="149"/>
      <c r="J401" s="148"/>
      <c r="L401" s="376"/>
      <c r="M401" s="376"/>
    </row>
    <row r="402" spans="1:13" ht="15.75" hidden="1" customHeight="1">
      <c r="A402" s="145" t="s">
        <v>1795</v>
      </c>
      <c r="B402" s="146" t="s">
        <v>1796</v>
      </c>
      <c r="C402" s="147" t="e">
        <f>E402+G402+#REF!</f>
        <v>#REF!</v>
      </c>
      <c r="D402" s="147"/>
      <c r="E402" s="148"/>
      <c r="F402" s="148"/>
      <c r="G402" s="148">
        <f t="shared" si="7"/>
        <v>0</v>
      </c>
      <c r="H402" s="149"/>
      <c r="I402" s="149"/>
      <c r="J402" s="148"/>
      <c r="L402" s="376"/>
      <c r="M402" s="376"/>
    </row>
    <row r="403" spans="1:13" ht="15.75" hidden="1" customHeight="1">
      <c r="A403" s="145" t="s">
        <v>1797</v>
      </c>
      <c r="B403" s="146" t="s">
        <v>1798</v>
      </c>
      <c r="C403" s="147" t="e">
        <f>E403+G403+#REF!</f>
        <v>#REF!</v>
      </c>
      <c r="D403" s="147"/>
      <c r="E403" s="148"/>
      <c r="F403" s="148"/>
      <c r="G403" s="148">
        <f t="shared" si="7"/>
        <v>0</v>
      </c>
      <c r="H403" s="149"/>
      <c r="I403" s="149"/>
      <c r="J403" s="148"/>
      <c r="L403" s="376"/>
      <c r="M403" s="376"/>
    </row>
    <row r="404" spans="1:13" ht="15.75" hidden="1" customHeight="1">
      <c r="A404" s="145" t="s">
        <v>1799</v>
      </c>
      <c r="B404" s="146" t="s">
        <v>1800</v>
      </c>
      <c r="C404" s="147" t="e">
        <f>E404+G404+#REF!</f>
        <v>#REF!</v>
      </c>
      <c r="D404" s="147"/>
      <c r="E404" s="148"/>
      <c r="F404" s="148"/>
      <c r="G404" s="148">
        <f t="shared" si="7"/>
        <v>0</v>
      </c>
      <c r="H404" s="149"/>
      <c r="I404" s="149"/>
      <c r="J404" s="148"/>
      <c r="L404" s="376"/>
      <c r="M404" s="376"/>
    </row>
    <row r="405" spans="1:13" ht="15.75" hidden="1" customHeight="1">
      <c r="A405" s="145" t="s">
        <v>1801</v>
      </c>
      <c r="B405" s="146" t="s">
        <v>1802</v>
      </c>
      <c r="C405" s="147" t="e">
        <f>E405+G405+#REF!</f>
        <v>#REF!</v>
      </c>
      <c r="D405" s="147"/>
      <c r="E405" s="148"/>
      <c r="F405" s="148"/>
      <c r="G405" s="148">
        <f t="shared" si="7"/>
        <v>0</v>
      </c>
      <c r="H405" s="149"/>
      <c r="I405" s="149"/>
      <c r="J405" s="148"/>
      <c r="L405" s="376"/>
      <c r="M405" s="376"/>
    </row>
    <row r="406" spans="1:13" ht="15.75" hidden="1" customHeight="1">
      <c r="A406" s="145" t="s">
        <v>1803</v>
      </c>
      <c r="B406" s="146" t="s">
        <v>1804</v>
      </c>
      <c r="C406" s="147" t="e">
        <f>E406+G406+#REF!</f>
        <v>#REF!</v>
      </c>
      <c r="D406" s="147"/>
      <c r="E406" s="148"/>
      <c r="F406" s="148"/>
      <c r="G406" s="148">
        <f t="shared" si="7"/>
        <v>0</v>
      </c>
      <c r="H406" s="149"/>
      <c r="I406" s="149"/>
      <c r="J406" s="148"/>
      <c r="L406" s="376"/>
      <c r="M406" s="376"/>
    </row>
    <row r="407" spans="1:13" ht="15.75" hidden="1" customHeight="1">
      <c r="A407" s="145" t="s">
        <v>1805</v>
      </c>
      <c r="B407" s="146" t="s">
        <v>1806</v>
      </c>
      <c r="C407" s="147" t="e">
        <f>E407+G407+#REF!</f>
        <v>#REF!</v>
      </c>
      <c r="D407" s="147"/>
      <c r="E407" s="148"/>
      <c r="F407" s="148"/>
      <c r="G407" s="148">
        <f t="shared" si="7"/>
        <v>0</v>
      </c>
      <c r="H407" s="149"/>
      <c r="I407" s="149"/>
      <c r="J407" s="148"/>
      <c r="L407" s="376"/>
      <c r="M407" s="376"/>
    </row>
    <row r="408" spans="1:13" ht="15.75" hidden="1" customHeight="1">
      <c r="A408" s="145" t="s">
        <v>1807</v>
      </c>
      <c r="B408" s="146" t="s">
        <v>1808</v>
      </c>
      <c r="C408" s="147" t="e">
        <f>E408+G408+#REF!</f>
        <v>#REF!</v>
      </c>
      <c r="D408" s="147"/>
      <c r="E408" s="148"/>
      <c r="F408" s="148"/>
      <c r="G408" s="148">
        <f t="shared" si="7"/>
        <v>0</v>
      </c>
      <c r="H408" s="149"/>
      <c r="I408" s="149"/>
      <c r="J408" s="148"/>
      <c r="L408" s="376"/>
      <c r="M408" s="376"/>
    </row>
    <row r="409" spans="1:13" ht="15.75" hidden="1" customHeight="1">
      <c r="A409" s="145" t="s">
        <v>1809</v>
      </c>
      <c r="B409" s="146" t="s">
        <v>1810</v>
      </c>
      <c r="C409" s="147" t="e">
        <f>E409+G409+#REF!</f>
        <v>#REF!</v>
      </c>
      <c r="D409" s="147"/>
      <c r="E409" s="148"/>
      <c r="F409" s="148"/>
      <c r="G409" s="148">
        <f t="shared" ref="G409:G461" si="8">H409-I409</f>
        <v>0</v>
      </c>
      <c r="H409" s="149"/>
      <c r="I409" s="149"/>
      <c r="J409" s="148"/>
      <c r="L409" s="376"/>
      <c r="M409" s="376"/>
    </row>
    <row r="410" spans="1:13" ht="15.75" hidden="1" customHeight="1">
      <c r="A410" s="145" t="s">
        <v>1811</v>
      </c>
      <c r="B410" s="146" t="s">
        <v>1812</v>
      </c>
      <c r="C410" s="147" t="e">
        <f>E410+G410+#REF!</f>
        <v>#REF!</v>
      </c>
      <c r="D410" s="147"/>
      <c r="E410" s="148"/>
      <c r="F410" s="148"/>
      <c r="G410" s="148">
        <f t="shared" si="8"/>
        <v>0</v>
      </c>
      <c r="H410" s="149"/>
      <c r="I410" s="149"/>
      <c r="J410" s="148"/>
      <c r="L410" s="376"/>
      <c r="M410" s="376"/>
    </row>
    <row r="411" spans="1:13" ht="15.75" hidden="1" customHeight="1">
      <c r="A411" s="145" t="s">
        <v>1144</v>
      </c>
      <c r="B411" s="146" t="s">
        <v>1145</v>
      </c>
      <c r="C411" s="147" t="e">
        <f>E411+G411+#REF!</f>
        <v>#REF!</v>
      </c>
      <c r="D411" s="147"/>
      <c r="E411" s="148"/>
      <c r="F411" s="148"/>
      <c r="G411" s="148">
        <f t="shared" si="8"/>
        <v>0</v>
      </c>
      <c r="H411" s="149"/>
      <c r="I411" s="149"/>
      <c r="J411" s="148"/>
      <c r="L411" s="376"/>
      <c r="M411" s="376"/>
    </row>
    <row r="412" spans="1:13" ht="15.75" hidden="1" customHeight="1">
      <c r="A412" s="145" t="s">
        <v>1146</v>
      </c>
      <c r="B412" s="146" t="s">
        <v>1147</v>
      </c>
      <c r="C412" s="147" t="e">
        <f>E412+G412+#REF!</f>
        <v>#REF!</v>
      </c>
      <c r="D412" s="147"/>
      <c r="E412" s="148"/>
      <c r="F412" s="148"/>
      <c r="G412" s="148">
        <f t="shared" si="8"/>
        <v>0</v>
      </c>
      <c r="H412" s="149"/>
      <c r="I412" s="149"/>
      <c r="J412" s="148"/>
      <c r="L412" s="376"/>
      <c r="M412" s="376"/>
    </row>
    <row r="413" spans="1:13" ht="15.75" hidden="1" customHeight="1">
      <c r="A413" s="145" t="s">
        <v>1148</v>
      </c>
      <c r="B413" s="146" t="s">
        <v>1149</v>
      </c>
      <c r="C413" s="147" t="e">
        <f>E413+G413+#REF!</f>
        <v>#REF!</v>
      </c>
      <c r="D413" s="147"/>
      <c r="E413" s="148"/>
      <c r="F413" s="148"/>
      <c r="G413" s="148">
        <f t="shared" si="8"/>
        <v>0</v>
      </c>
      <c r="H413" s="149"/>
      <c r="I413" s="149"/>
      <c r="J413" s="148"/>
      <c r="L413" s="376"/>
      <c r="M413" s="376"/>
    </row>
    <row r="414" spans="1:13" ht="15.75" hidden="1" customHeight="1">
      <c r="A414" s="145" t="s">
        <v>1150</v>
      </c>
      <c r="B414" s="146" t="s">
        <v>1151</v>
      </c>
      <c r="C414" s="147" t="e">
        <f>E414+G414+#REF!</f>
        <v>#REF!</v>
      </c>
      <c r="D414" s="147"/>
      <c r="E414" s="148"/>
      <c r="F414" s="148"/>
      <c r="G414" s="148">
        <f t="shared" si="8"/>
        <v>0</v>
      </c>
      <c r="H414" s="149"/>
      <c r="I414" s="149"/>
      <c r="J414" s="148"/>
      <c r="L414" s="376"/>
      <c r="M414" s="376"/>
    </row>
    <row r="415" spans="1:13" ht="15.75" hidden="1" customHeight="1">
      <c r="A415" s="145" t="s">
        <v>1152</v>
      </c>
      <c r="B415" s="146" t="s">
        <v>1153</v>
      </c>
      <c r="C415" s="147" t="e">
        <f>E415+G415+#REF!</f>
        <v>#REF!</v>
      </c>
      <c r="D415" s="147"/>
      <c r="E415" s="148"/>
      <c r="F415" s="148"/>
      <c r="G415" s="148">
        <f t="shared" si="8"/>
        <v>0</v>
      </c>
      <c r="H415" s="149"/>
      <c r="I415" s="149"/>
      <c r="J415" s="148"/>
      <c r="L415" s="376"/>
      <c r="M415" s="376"/>
    </row>
    <row r="416" spans="1:13" ht="15.75" hidden="1" customHeight="1">
      <c r="A416" s="145" t="s">
        <v>1154</v>
      </c>
      <c r="B416" s="146" t="s">
        <v>1155</v>
      </c>
      <c r="C416" s="147" t="e">
        <f>E416+G416+#REF!</f>
        <v>#REF!</v>
      </c>
      <c r="D416" s="147"/>
      <c r="E416" s="148"/>
      <c r="F416" s="148"/>
      <c r="G416" s="148">
        <f t="shared" si="8"/>
        <v>0</v>
      </c>
      <c r="H416" s="149"/>
      <c r="I416" s="149"/>
      <c r="J416" s="148"/>
      <c r="L416" s="376"/>
      <c r="M416" s="376"/>
    </row>
    <row r="417" spans="1:13" ht="15.75" hidden="1" customHeight="1">
      <c r="A417" s="145" t="s">
        <v>1156</v>
      </c>
      <c r="B417" s="146" t="s">
        <v>1157</v>
      </c>
      <c r="C417" s="147" t="e">
        <f>E417+G417+#REF!</f>
        <v>#REF!</v>
      </c>
      <c r="D417" s="147"/>
      <c r="E417" s="148"/>
      <c r="F417" s="148"/>
      <c r="G417" s="148">
        <f t="shared" si="8"/>
        <v>0</v>
      </c>
      <c r="H417" s="149"/>
      <c r="I417" s="149"/>
      <c r="J417" s="148"/>
      <c r="L417" s="376"/>
      <c r="M417" s="376"/>
    </row>
    <row r="418" spans="1:13" ht="15.75" hidden="1" customHeight="1">
      <c r="A418" s="145" t="s">
        <v>1158</v>
      </c>
      <c r="B418" s="146" t="s">
        <v>1159</v>
      </c>
      <c r="C418" s="147" t="e">
        <f>E418+G418+#REF!</f>
        <v>#REF!</v>
      </c>
      <c r="D418" s="147"/>
      <c r="E418" s="148"/>
      <c r="F418" s="148"/>
      <c r="G418" s="148">
        <f t="shared" si="8"/>
        <v>0</v>
      </c>
      <c r="H418" s="149"/>
      <c r="I418" s="149"/>
      <c r="J418" s="148"/>
      <c r="L418" s="376"/>
      <c r="M418" s="376"/>
    </row>
    <row r="419" spans="1:13" ht="15.75" hidden="1" customHeight="1">
      <c r="A419" s="145" t="s">
        <v>1062</v>
      </c>
      <c r="B419" s="146" t="s">
        <v>1063</v>
      </c>
      <c r="C419" s="147" t="e">
        <f>E419+G419+#REF!</f>
        <v>#REF!</v>
      </c>
      <c r="D419" s="147"/>
      <c r="E419" s="148"/>
      <c r="F419" s="148"/>
      <c r="G419" s="148">
        <f t="shared" si="8"/>
        <v>0</v>
      </c>
      <c r="H419" s="149"/>
      <c r="I419" s="149"/>
      <c r="J419" s="148"/>
      <c r="L419" s="376"/>
      <c r="M419" s="376"/>
    </row>
    <row r="420" spans="1:13" ht="15.75" hidden="1" customHeight="1">
      <c r="A420" s="145" t="s">
        <v>1064</v>
      </c>
      <c r="B420" s="146" t="s">
        <v>1065</v>
      </c>
      <c r="C420" s="147" t="e">
        <f>E420+G420+#REF!</f>
        <v>#REF!</v>
      </c>
      <c r="D420" s="147"/>
      <c r="E420" s="148"/>
      <c r="F420" s="148"/>
      <c r="G420" s="148">
        <f t="shared" si="8"/>
        <v>0</v>
      </c>
      <c r="H420" s="149"/>
      <c r="I420" s="149"/>
      <c r="J420" s="148"/>
      <c r="L420" s="376"/>
      <c r="M420" s="376"/>
    </row>
    <row r="421" spans="1:13" ht="15.75" hidden="1" customHeight="1">
      <c r="A421" s="145" t="s">
        <v>1179</v>
      </c>
      <c r="B421" s="146" t="s">
        <v>1180</v>
      </c>
      <c r="C421" s="147" t="e">
        <f>E421+G421+#REF!</f>
        <v>#REF!</v>
      </c>
      <c r="D421" s="147"/>
      <c r="E421" s="148"/>
      <c r="F421" s="148"/>
      <c r="G421" s="148">
        <f t="shared" si="8"/>
        <v>0</v>
      </c>
      <c r="H421" s="149"/>
      <c r="I421" s="149"/>
      <c r="J421" s="148"/>
      <c r="L421" s="376"/>
      <c r="M421" s="376"/>
    </row>
    <row r="422" spans="1:13" ht="15.75" hidden="1" customHeight="1">
      <c r="A422" s="145" t="s">
        <v>1181</v>
      </c>
      <c r="B422" s="146" t="s">
        <v>1182</v>
      </c>
      <c r="C422" s="147" t="e">
        <f>E422+G422+#REF!</f>
        <v>#REF!</v>
      </c>
      <c r="D422" s="147"/>
      <c r="E422" s="148"/>
      <c r="F422" s="148"/>
      <c r="G422" s="148">
        <f t="shared" si="8"/>
        <v>0</v>
      </c>
      <c r="H422" s="149"/>
      <c r="I422" s="149"/>
      <c r="J422" s="148"/>
      <c r="L422" s="376"/>
      <c r="M422" s="376"/>
    </row>
    <row r="423" spans="1:13" ht="15.75" hidden="1" customHeight="1">
      <c r="A423" s="145" t="s">
        <v>2069</v>
      </c>
      <c r="B423" s="146" t="s">
        <v>2070</v>
      </c>
      <c r="C423" s="147" t="e">
        <f>E423+G423+#REF!</f>
        <v>#REF!</v>
      </c>
      <c r="D423" s="147"/>
      <c r="E423" s="148"/>
      <c r="F423" s="148"/>
      <c r="G423" s="148">
        <f t="shared" si="8"/>
        <v>0</v>
      </c>
      <c r="H423" s="149"/>
      <c r="I423" s="149"/>
      <c r="J423" s="148"/>
      <c r="L423" s="376"/>
      <c r="M423" s="376"/>
    </row>
    <row r="424" spans="1:13" ht="15.75" hidden="1" customHeight="1">
      <c r="A424" s="145" t="s">
        <v>2071</v>
      </c>
      <c r="B424" s="146" t="s">
        <v>2072</v>
      </c>
      <c r="C424" s="147" t="e">
        <f>E424+G424+#REF!</f>
        <v>#REF!</v>
      </c>
      <c r="D424" s="147"/>
      <c r="E424" s="148"/>
      <c r="F424" s="148"/>
      <c r="G424" s="148">
        <f t="shared" si="8"/>
        <v>0</v>
      </c>
      <c r="H424" s="149"/>
      <c r="I424" s="149"/>
      <c r="J424" s="148"/>
      <c r="L424" s="376"/>
      <c r="M424" s="376"/>
    </row>
    <row r="425" spans="1:13" ht="15.75" hidden="1" customHeight="1">
      <c r="A425" s="145" t="s">
        <v>2073</v>
      </c>
      <c r="B425" s="146" t="s">
        <v>2074</v>
      </c>
      <c r="C425" s="147" t="e">
        <f>E425+G425+#REF!</f>
        <v>#REF!</v>
      </c>
      <c r="D425" s="147"/>
      <c r="E425" s="148"/>
      <c r="F425" s="148"/>
      <c r="G425" s="148">
        <f t="shared" si="8"/>
        <v>0</v>
      </c>
      <c r="H425" s="149"/>
      <c r="I425" s="149"/>
      <c r="J425" s="148"/>
      <c r="L425" s="376"/>
      <c r="M425" s="376"/>
    </row>
    <row r="426" spans="1:13" ht="15.75" hidden="1" customHeight="1">
      <c r="A426" s="145" t="s">
        <v>2075</v>
      </c>
      <c r="B426" s="146" t="s">
        <v>2076</v>
      </c>
      <c r="C426" s="147" t="e">
        <f>E426+G426+#REF!</f>
        <v>#REF!</v>
      </c>
      <c r="D426" s="147"/>
      <c r="E426" s="148"/>
      <c r="F426" s="148"/>
      <c r="G426" s="148">
        <f t="shared" si="8"/>
        <v>0</v>
      </c>
      <c r="H426" s="149"/>
      <c r="I426" s="149"/>
      <c r="J426" s="148"/>
      <c r="L426" s="376"/>
      <c r="M426" s="376"/>
    </row>
    <row r="427" spans="1:13" ht="15.75" hidden="1" customHeight="1">
      <c r="A427" s="145" t="s">
        <v>2077</v>
      </c>
      <c r="B427" s="146" t="s">
        <v>2078</v>
      </c>
      <c r="C427" s="147" t="e">
        <f>E427+G427+#REF!</f>
        <v>#REF!</v>
      </c>
      <c r="D427" s="147"/>
      <c r="E427" s="148"/>
      <c r="F427" s="148"/>
      <c r="G427" s="148">
        <f t="shared" si="8"/>
        <v>0</v>
      </c>
      <c r="H427" s="149"/>
      <c r="I427" s="149"/>
      <c r="J427" s="148"/>
      <c r="L427" s="376"/>
      <c r="M427" s="376"/>
    </row>
    <row r="428" spans="1:13" ht="15.75" hidden="1" customHeight="1">
      <c r="A428" s="145" t="s">
        <v>2079</v>
      </c>
      <c r="B428" s="146" t="s">
        <v>2080</v>
      </c>
      <c r="C428" s="147" t="e">
        <f>E428+G428+#REF!</f>
        <v>#REF!</v>
      </c>
      <c r="D428" s="147"/>
      <c r="E428" s="148"/>
      <c r="F428" s="148"/>
      <c r="G428" s="148">
        <f t="shared" si="8"/>
        <v>0</v>
      </c>
      <c r="H428" s="149"/>
      <c r="I428" s="149"/>
      <c r="J428" s="148"/>
      <c r="L428" s="376"/>
      <c r="M428" s="376"/>
    </row>
    <row r="429" spans="1:13" ht="15.75" hidden="1" customHeight="1">
      <c r="A429" s="145" t="s">
        <v>1099</v>
      </c>
      <c r="B429" s="146" t="s">
        <v>1100</v>
      </c>
      <c r="C429" s="147" t="e">
        <f>E429+G429+#REF!</f>
        <v>#REF!</v>
      </c>
      <c r="D429" s="147"/>
      <c r="E429" s="148"/>
      <c r="F429" s="148"/>
      <c r="G429" s="148">
        <f t="shared" si="8"/>
        <v>0</v>
      </c>
      <c r="H429" s="149"/>
      <c r="I429" s="149"/>
      <c r="J429" s="148"/>
      <c r="L429" s="376"/>
      <c r="M429" s="376"/>
    </row>
    <row r="430" spans="1:13" ht="15.75" hidden="1" customHeight="1">
      <c r="A430" s="145" t="s">
        <v>1101</v>
      </c>
      <c r="B430" s="146" t="s">
        <v>1102</v>
      </c>
      <c r="C430" s="147" t="e">
        <f>E430+G430+#REF!</f>
        <v>#REF!</v>
      </c>
      <c r="D430" s="147"/>
      <c r="E430" s="148"/>
      <c r="F430" s="148"/>
      <c r="G430" s="148">
        <f t="shared" si="8"/>
        <v>0</v>
      </c>
      <c r="H430" s="149"/>
      <c r="I430" s="149"/>
      <c r="J430" s="148"/>
      <c r="L430" s="376"/>
      <c r="M430" s="376"/>
    </row>
    <row r="431" spans="1:13" ht="15.75" hidden="1" customHeight="1">
      <c r="A431" s="145" t="s">
        <v>414</v>
      </c>
      <c r="B431" s="146" t="s">
        <v>415</v>
      </c>
      <c r="C431" s="147" t="e">
        <f>E431+G431+#REF!</f>
        <v>#REF!</v>
      </c>
      <c r="D431" s="147"/>
      <c r="E431" s="148"/>
      <c r="F431" s="148"/>
      <c r="G431" s="148">
        <f t="shared" si="8"/>
        <v>0</v>
      </c>
      <c r="H431" s="149"/>
      <c r="I431" s="149"/>
      <c r="J431" s="148"/>
      <c r="L431" s="376"/>
      <c r="M431" s="376"/>
    </row>
    <row r="432" spans="1:13" ht="15.75" hidden="1" customHeight="1">
      <c r="A432" s="145" t="s">
        <v>416</v>
      </c>
      <c r="B432" s="146" t="s">
        <v>417</v>
      </c>
      <c r="C432" s="147" t="e">
        <f>E432+G432+#REF!</f>
        <v>#REF!</v>
      </c>
      <c r="D432" s="147"/>
      <c r="E432" s="148"/>
      <c r="F432" s="148"/>
      <c r="G432" s="148">
        <f t="shared" si="8"/>
        <v>0</v>
      </c>
      <c r="H432" s="149"/>
      <c r="I432" s="149"/>
      <c r="J432" s="148"/>
      <c r="L432" s="376"/>
      <c r="M432" s="376"/>
    </row>
    <row r="433" spans="1:13" ht="15.75" hidden="1" customHeight="1">
      <c r="A433" s="145" t="s">
        <v>418</v>
      </c>
      <c r="B433" s="146" t="s">
        <v>419</v>
      </c>
      <c r="C433" s="147" t="e">
        <f>E433+G433+#REF!</f>
        <v>#REF!</v>
      </c>
      <c r="D433" s="147"/>
      <c r="E433" s="148"/>
      <c r="F433" s="148"/>
      <c r="G433" s="148">
        <f t="shared" si="8"/>
        <v>0</v>
      </c>
      <c r="H433" s="149"/>
      <c r="I433" s="149"/>
      <c r="J433" s="148"/>
      <c r="L433" s="376"/>
      <c r="M433" s="376"/>
    </row>
    <row r="434" spans="1:13" ht="15.75" hidden="1" customHeight="1">
      <c r="A434" s="145" t="s">
        <v>420</v>
      </c>
      <c r="B434" s="146" t="s">
        <v>421</v>
      </c>
      <c r="C434" s="147" t="e">
        <f>E434+G434+#REF!</f>
        <v>#REF!</v>
      </c>
      <c r="D434" s="147"/>
      <c r="E434" s="148"/>
      <c r="F434" s="148"/>
      <c r="G434" s="148">
        <f t="shared" si="8"/>
        <v>0</v>
      </c>
      <c r="H434" s="149"/>
      <c r="I434" s="149"/>
      <c r="J434" s="148"/>
      <c r="L434" s="376"/>
      <c r="M434" s="376"/>
    </row>
    <row r="435" spans="1:13" ht="15.75" hidden="1" customHeight="1">
      <c r="A435" s="145" t="s">
        <v>422</v>
      </c>
      <c r="B435" s="146" t="s">
        <v>423</v>
      </c>
      <c r="C435" s="147" t="e">
        <f>E435+G435+#REF!</f>
        <v>#REF!</v>
      </c>
      <c r="D435" s="147"/>
      <c r="E435" s="148"/>
      <c r="F435" s="148"/>
      <c r="G435" s="148">
        <f t="shared" si="8"/>
        <v>0</v>
      </c>
      <c r="H435" s="149"/>
      <c r="I435" s="149"/>
      <c r="J435" s="148"/>
      <c r="L435" s="376"/>
      <c r="M435" s="376"/>
    </row>
    <row r="436" spans="1:13" ht="15.75" hidden="1" customHeight="1">
      <c r="A436" s="145" t="s">
        <v>424</v>
      </c>
      <c r="B436" s="146" t="s">
        <v>425</v>
      </c>
      <c r="C436" s="147" t="e">
        <f>E436+G436+#REF!</f>
        <v>#REF!</v>
      </c>
      <c r="D436" s="147"/>
      <c r="E436" s="148"/>
      <c r="F436" s="148"/>
      <c r="G436" s="148">
        <f t="shared" si="8"/>
        <v>0</v>
      </c>
      <c r="H436" s="149"/>
      <c r="I436" s="149"/>
      <c r="J436" s="148"/>
      <c r="L436" s="376"/>
      <c r="M436" s="376"/>
    </row>
    <row r="437" spans="1:13" ht="15.75" hidden="1" customHeight="1">
      <c r="A437" s="145" t="s">
        <v>426</v>
      </c>
      <c r="B437" s="146" t="s">
        <v>427</v>
      </c>
      <c r="C437" s="147" t="e">
        <f>E437+G437+#REF!</f>
        <v>#REF!</v>
      </c>
      <c r="D437" s="147"/>
      <c r="E437" s="148"/>
      <c r="F437" s="148"/>
      <c r="G437" s="148">
        <f t="shared" si="8"/>
        <v>0</v>
      </c>
      <c r="H437" s="149"/>
      <c r="I437" s="149"/>
      <c r="J437" s="148"/>
      <c r="L437" s="376"/>
      <c r="M437" s="376"/>
    </row>
    <row r="438" spans="1:13" ht="15.75" hidden="1" customHeight="1">
      <c r="A438" s="145" t="s">
        <v>428</v>
      </c>
      <c r="B438" s="146" t="s">
        <v>429</v>
      </c>
      <c r="C438" s="147" t="e">
        <f>E438+G438+#REF!</f>
        <v>#REF!</v>
      </c>
      <c r="D438" s="147"/>
      <c r="E438" s="148"/>
      <c r="F438" s="148"/>
      <c r="G438" s="148">
        <f t="shared" si="8"/>
        <v>0</v>
      </c>
      <c r="H438" s="149"/>
      <c r="I438" s="149"/>
      <c r="J438" s="148"/>
      <c r="L438" s="376"/>
      <c r="M438" s="376"/>
    </row>
    <row r="439" spans="1:13" ht="15.75" hidden="1" customHeight="1">
      <c r="A439" s="145" t="s">
        <v>430</v>
      </c>
      <c r="B439" s="146" t="s">
        <v>431</v>
      </c>
      <c r="C439" s="147" t="e">
        <f>E439+G439+#REF!</f>
        <v>#REF!</v>
      </c>
      <c r="D439" s="147"/>
      <c r="E439" s="148"/>
      <c r="F439" s="148"/>
      <c r="G439" s="148">
        <f t="shared" si="8"/>
        <v>0</v>
      </c>
      <c r="H439" s="149"/>
      <c r="I439" s="149"/>
      <c r="J439" s="148"/>
      <c r="L439" s="376"/>
      <c r="M439" s="376"/>
    </row>
    <row r="440" spans="1:13" ht="15.75" hidden="1" customHeight="1">
      <c r="A440" s="145" t="s">
        <v>432</v>
      </c>
      <c r="B440" s="146" t="s">
        <v>433</v>
      </c>
      <c r="C440" s="147" t="e">
        <f>E440+G440+#REF!</f>
        <v>#REF!</v>
      </c>
      <c r="D440" s="147"/>
      <c r="E440" s="148"/>
      <c r="F440" s="148"/>
      <c r="G440" s="148">
        <f t="shared" si="8"/>
        <v>0</v>
      </c>
      <c r="H440" s="149"/>
      <c r="I440" s="149"/>
      <c r="J440" s="148"/>
      <c r="L440" s="376"/>
      <c r="M440" s="376"/>
    </row>
    <row r="441" spans="1:13" ht="15.75" hidden="1" customHeight="1">
      <c r="A441" s="145" t="s">
        <v>434</v>
      </c>
      <c r="B441" s="146" t="s">
        <v>435</v>
      </c>
      <c r="C441" s="147" t="e">
        <f>E441+G441+#REF!</f>
        <v>#REF!</v>
      </c>
      <c r="D441" s="147"/>
      <c r="E441" s="148"/>
      <c r="F441" s="148"/>
      <c r="G441" s="148">
        <f t="shared" si="8"/>
        <v>0</v>
      </c>
      <c r="H441" s="149"/>
      <c r="I441" s="149"/>
      <c r="J441" s="148"/>
      <c r="L441" s="376"/>
      <c r="M441" s="376"/>
    </row>
    <row r="442" spans="1:13" ht="15.75" hidden="1" customHeight="1">
      <c r="A442" s="145" t="s">
        <v>436</v>
      </c>
      <c r="B442" s="146" t="s">
        <v>437</v>
      </c>
      <c r="C442" s="147" t="e">
        <f>E442+G442+#REF!</f>
        <v>#REF!</v>
      </c>
      <c r="D442" s="147"/>
      <c r="E442" s="148"/>
      <c r="F442" s="148"/>
      <c r="G442" s="148">
        <f t="shared" si="8"/>
        <v>0</v>
      </c>
      <c r="H442" s="149"/>
      <c r="I442" s="149"/>
      <c r="J442" s="148"/>
      <c r="L442" s="376"/>
      <c r="M442" s="376"/>
    </row>
    <row r="443" spans="1:13" ht="15.75" hidden="1" customHeight="1">
      <c r="A443" s="145" t="s">
        <v>438</v>
      </c>
      <c r="B443" s="146" t="s">
        <v>439</v>
      </c>
      <c r="C443" s="147" t="e">
        <f>E443+G443+#REF!</f>
        <v>#REF!</v>
      </c>
      <c r="D443" s="147"/>
      <c r="E443" s="148"/>
      <c r="F443" s="148"/>
      <c r="G443" s="148">
        <f t="shared" si="8"/>
        <v>0</v>
      </c>
      <c r="H443" s="149"/>
      <c r="I443" s="149"/>
      <c r="J443" s="148"/>
      <c r="L443" s="376"/>
      <c r="M443" s="376"/>
    </row>
    <row r="444" spans="1:13" ht="15.75" hidden="1" customHeight="1">
      <c r="A444" s="145" t="s">
        <v>440</v>
      </c>
      <c r="B444" s="146" t="s">
        <v>441</v>
      </c>
      <c r="C444" s="147" t="e">
        <f>E444+G444+#REF!</f>
        <v>#REF!</v>
      </c>
      <c r="D444" s="147"/>
      <c r="E444" s="148"/>
      <c r="F444" s="148"/>
      <c r="G444" s="148">
        <f t="shared" si="8"/>
        <v>0</v>
      </c>
      <c r="H444" s="149"/>
      <c r="I444" s="149"/>
      <c r="J444" s="148"/>
      <c r="L444" s="376"/>
      <c r="M444" s="376"/>
    </row>
    <row r="445" spans="1:13" ht="15.75" hidden="1" customHeight="1">
      <c r="A445" s="145" t="s">
        <v>442</v>
      </c>
      <c r="B445" s="146" t="s">
        <v>443</v>
      </c>
      <c r="C445" s="147" t="e">
        <f>E445+G445+#REF!</f>
        <v>#REF!</v>
      </c>
      <c r="D445" s="147"/>
      <c r="E445" s="148"/>
      <c r="F445" s="148"/>
      <c r="G445" s="148">
        <f t="shared" si="8"/>
        <v>0</v>
      </c>
      <c r="H445" s="149"/>
      <c r="I445" s="149"/>
      <c r="J445" s="148"/>
      <c r="L445" s="376"/>
      <c r="M445" s="376"/>
    </row>
    <row r="446" spans="1:13" ht="15.75" hidden="1" customHeight="1">
      <c r="A446" s="145" t="s">
        <v>444</v>
      </c>
      <c r="B446" s="146" t="s">
        <v>445</v>
      </c>
      <c r="C446" s="147" t="e">
        <f>E446+G446+#REF!</f>
        <v>#REF!</v>
      </c>
      <c r="D446" s="147"/>
      <c r="E446" s="148"/>
      <c r="F446" s="148"/>
      <c r="G446" s="148">
        <f t="shared" si="8"/>
        <v>0</v>
      </c>
      <c r="H446" s="149"/>
      <c r="I446" s="149"/>
      <c r="J446" s="148"/>
      <c r="L446" s="376"/>
      <c r="M446" s="376"/>
    </row>
    <row r="447" spans="1:13" ht="15.75" hidden="1" customHeight="1">
      <c r="A447" s="145" t="s">
        <v>446</v>
      </c>
      <c r="B447" s="146" t="s">
        <v>447</v>
      </c>
      <c r="C447" s="147" t="e">
        <f>E447+G447+#REF!</f>
        <v>#REF!</v>
      </c>
      <c r="D447" s="147"/>
      <c r="E447" s="148"/>
      <c r="F447" s="148"/>
      <c r="G447" s="148">
        <f t="shared" si="8"/>
        <v>0</v>
      </c>
      <c r="H447" s="149"/>
      <c r="I447" s="149"/>
      <c r="J447" s="148"/>
      <c r="L447" s="376"/>
      <c r="M447" s="376"/>
    </row>
    <row r="448" spans="1:13" ht="15.75" hidden="1" customHeight="1">
      <c r="A448" s="145" t="s">
        <v>448</v>
      </c>
      <c r="B448" s="146">
        <v>954</v>
      </c>
      <c r="C448" s="147" t="e">
        <f>E448+G448+#REF!</f>
        <v>#REF!</v>
      </c>
      <c r="D448" s="147"/>
      <c r="E448" s="148"/>
      <c r="F448" s="148"/>
      <c r="G448" s="148">
        <f t="shared" si="8"/>
        <v>0</v>
      </c>
      <c r="H448" s="149"/>
      <c r="I448" s="149"/>
      <c r="J448" s="148"/>
      <c r="L448" s="376"/>
      <c r="M448" s="376"/>
    </row>
    <row r="449" spans="1:14" ht="15.75" hidden="1" customHeight="1">
      <c r="A449" s="145" t="s">
        <v>449</v>
      </c>
      <c r="B449" s="146">
        <v>955</v>
      </c>
      <c r="C449" s="147" t="e">
        <f>E449+G449+#REF!</f>
        <v>#REF!</v>
      </c>
      <c r="D449" s="147"/>
      <c r="E449" s="148"/>
      <c r="F449" s="148"/>
      <c r="G449" s="148">
        <f t="shared" si="8"/>
        <v>0</v>
      </c>
      <c r="H449" s="149"/>
      <c r="I449" s="149"/>
      <c r="J449" s="148"/>
      <c r="L449" s="376"/>
      <c r="M449" s="376"/>
    </row>
    <row r="450" spans="1:14" ht="15.75" hidden="1" customHeight="1">
      <c r="A450" s="145" t="s">
        <v>450</v>
      </c>
      <c r="B450" s="146" t="s">
        <v>451</v>
      </c>
      <c r="C450" s="147" t="e">
        <f>E450+G450+#REF!</f>
        <v>#REF!</v>
      </c>
      <c r="D450" s="147"/>
      <c r="E450" s="148"/>
      <c r="F450" s="148"/>
      <c r="G450" s="148">
        <f t="shared" si="8"/>
        <v>0</v>
      </c>
      <c r="H450" s="149"/>
      <c r="I450" s="149"/>
      <c r="J450" s="148"/>
      <c r="L450" s="376"/>
      <c r="M450" s="376"/>
    </row>
    <row r="451" spans="1:14" ht="15.75" hidden="1" customHeight="1">
      <c r="A451" s="145" t="s">
        <v>452</v>
      </c>
      <c r="B451" s="146" t="s">
        <v>453</v>
      </c>
      <c r="C451" s="147" t="e">
        <f>E451+G451+#REF!</f>
        <v>#REF!</v>
      </c>
      <c r="D451" s="147"/>
      <c r="E451" s="148"/>
      <c r="F451" s="148"/>
      <c r="G451" s="148">
        <f t="shared" si="8"/>
        <v>0</v>
      </c>
      <c r="H451" s="149"/>
      <c r="I451" s="149"/>
      <c r="J451" s="148"/>
      <c r="L451" s="376"/>
      <c r="M451" s="376"/>
    </row>
    <row r="452" spans="1:14" ht="15.75" hidden="1" customHeight="1">
      <c r="A452" s="145" t="s">
        <v>454</v>
      </c>
      <c r="B452" s="146" t="s">
        <v>455</v>
      </c>
      <c r="C452" s="147" t="e">
        <f>E452+G452+#REF!</f>
        <v>#REF!</v>
      </c>
      <c r="D452" s="147"/>
      <c r="E452" s="148"/>
      <c r="F452" s="148"/>
      <c r="G452" s="148">
        <f t="shared" si="8"/>
        <v>0</v>
      </c>
      <c r="H452" s="149"/>
      <c r="I452" s="149"/>
      <c r="J452" s="148"/>
      <c r="L452" s="376"/>
      <c r="M452" s="376"/>
    </row>
    <row r="453" spans="1:14" ht="15.75" hidden="1" customHeight="1">
      <c r="A453" s="145" t="s">
        <v>456</v>
      </c>
      <c r="B453" s="146" t="s">
        <v>457</v>
      </c>
      <c r="C453" s="147" t="e">
        <f>E453+G453+#REF!</f>
        <v>#REF!</v>
      </c>
      <c r="D453" s="147"/>
      <c r="E453" s="148"/>
      <c r="F453" s="148"/>
      <c r="G453" s="148">
        <f t="shared" si="8"/>
        <v>0</v>
      </c>
      <c r="H453" s="149"/>
      <c r="I453" s="149"/>
      <c r="J453" s="148"/>
      <c r="L453" s="376"/>
      <c r="M453" s="376"/>
    </row>
    <row r="454" spans="1:14" ht="15.75" hidden="1" customHeight="1">
      <c r="A454" s="145" t="s">
        <v>458</v>
      </c>
      <c r="B454" s="146" t="s">
        <v>459</v>
      </c>
      <c r="C454" s="147" t="e">
        <f>E454+G454+#REF!</f>
        <v>#REF!</v>
      </c>
      <c r="D454" s="147"/>
      <c r="E454" s="148"/>
      <c r="F454" s="148"/>
      <c r="G454" s="148">
        <f t="shared" si="8"/>
        <v>0</v>
      </c>
      <c r="H454" s="149"/>
      <c r="I454" s="149"/>
      <c r="J454" s="148"/>
      <c r="L454" s="376"/>
      <c r="M454" s="376"/>
    </row>
    <row r="455" spans="1:14" ht="15.75" hidden="1" customHeight="1">
      <c r="A455" s="145" t="s">
        <v>460</v>
      </c>
      <c r="B455" s="146" t="s">
        <v>461</v>
      </c>
      <c r="C455" s="147" t="e">
        <f>E455+G455+#REF!</f>
        <v>#REF!</v>
      </c>
      <c r="D455" s="147"/>
      <c r="E455" s="148"/>
      <c r="F455" s="148"/>
      <c r="G455" s="148">
        <f t="shared" si="8"/>
        <v>0</v>
      </c>
      <c r="H455" s="149"/>
      <c r="I455" s="149"/>
      <c r="J455" s="148"/>
      <c r="L455" s="376"/>
      <c r="M455" s="376"/>
    </row>
    <row r="456" spans="1:14" ht="15.75" hidden="1" customHeight="1">
      <c r="A456" s="145" t="s">
        <v>462</v>
      </c>
      <c r="B456" s="146" t="s">
        <v>463</v>
      </c>
      <c r="C456" s="147" t="e">
        <f>E456+G456+#REF!</f>
        <v>#REF!</v>
      </c>
      <c r="D456" s="147"/>
      <c r="E456" s="148"/>
      <c r="F456" s="148"/>
      <c r="G456" s="148">
        <f t="shared" si="8"/>
        <v>0</v>
      </c>
      <c r="H456" s="149"/>
      <c r="I456" s="149"/>
      <c r="J456" s="148"/>
      <c r="L456" s="376"/>
      <c r="M456" s="376"/>
    </row>
    <row r="457" spans="1:14" ht="15.75" hidden="1" customHeight="1">
      <c r="A457" s="145" t="s">
        <v>464</v>
      </c>
      <c r="B457" s="146" t="s">
        <v>465</v>
      </c>
      <c r="C457" s="147" t="e">
        <f>E457+G457+#REF!</f>
        <v>#REF!</v>
      </c>
      <c r="D457" s="147"/>
      <c r="E457" s="148"/>
      <c r="F457" s="148"/>
      <c r="G457" s="148">
        <f t="shared" si="8"/>
        <v>0</v>
      </c>
      <c r="H457" s="149"/>
      <c r="I457" s="149"/>
      <c r="J457" s="148"/>
      <c r="L457" s="376"/>
      <c r="M457" s="376"/>
    </row>
    <row r="458" spans="1:14" ht="15.75" hidden="1" customHeight="1">
      <c r="A458" s="145" t="s">
        <v>466</v>
      </c>
      <c r="B458" s="146" t="s">
        <v>467</v>
      </c>
      <c r="C458" s="147" t="e">
        <f>E458+G458+#REF!</f>
        <v>#REF!</v>
      </c>
      <c r="D458" s="147"/>
      <c r="E458" s="148"/>
      <c r="F458" s="148"/>
      <c r="G458" s="148">
        <f t="shared" si="8"/>
        <v>0</v>
      </c>
      <c r="H458" s="149"/>
      <c r="I458" s="149"/>
      <c r="J458" s="148"/>
      <c r="L458" s="376"/>
      <c r="M458" s="376"/>
    </row>
    <row r="459" spans="1:14" ht="15.75" hidden="1" customHeight="1">
      <c r="A459" s="145" t="s">
        <v>2023</v>
      </c>
      <c r="B459" s="146" t="s">
        <v>2024</v>
      </c>
      <c r="C459" s="147" t="e">
        <f>E459+G459+#REF!</f>
        <v>#REF!</v>
      </c>
      <c r="D459" s="147"/>
      <c r="E459" s="148"/>
      <c r="F459" s="148"/>
      <c r="G459" s="148">
        <f t="shared" si="8"/>
        <v>0</v>
      </c>
      <c r="H459" s="149"/>
      <c r="I459" s="149"/>
      <c r="J459" s="148"/>
      <c r="L459" s="376"/>
      <c r="M459" s="376"/>
    </row>
    <row r="460" spans="1:14" ht="15.75" hidden="1" customHeight="1">
      <c r="A460" s="145" t="s">
        <v>2025</v>
      </c>
      <c r="B460" s="146" t="s">
        <v>2026</v>
      </c>
      <c r="C460" s="147" t="e">
        <f>E460+G460+#REF!</f>
        <v>#REF!</v>
      </c>
      <c r="D460" s="147"/>
      <c r="E460" s="148"/>
      <c r="F460" s="148"/>
      <c r="G460" s="148">
        <f t="shared" si="8"/>
        <v>0</v>
      </c>
      <c r="H460" s="149"/>
      <c r="I460" s="149"/>
      <c r="J460" s="148"/>
      <c r="L460" s="376"/>
      <c r="M460" s="376"/>
    </row>
    <row r="461" spans="1:14" ht="15.75" hidden="1" customHeight="1">
      <c r="A461" s="145" t="s">
        <v>2027</v>
      </c>
      <c r="B461" s="146" t="s">
        <v>2028</v>
      </c>
      <c r="C461" s="147" t="e">
        <f>E461+G461+#REF!</f>
        <v>#REF!</v>
      </c>
      <c r="D461" s="147"/>
      <c r="E461" s="148"/>
      <c r="F461" s="148"/>
      <c r="G461" s="148">
        <f t="shared" si="8"/>
        <v>0</v>
      </c>
      <c r="H461" s="149"/>
      <c r="I461" s="149"/>
      <c r="J461" s="148"/>
      <c r="L461" s="376"/>
      <c r="M461" s="376"/>
    </row>
    <row r="462" spans="1:14" s="141" customFormat="1" ht="15.75" customHeight="1">
      <c r="A462" s="178" t="s">
        <v>1023</v>
      </c>
      <c r="B462" s="179"/>
      <c r="C462" s="180" t="e">
        <f t="shared" ref="C462:M462" si="9">SUM(C12:C461)</f>
        <v>#REF!</v>
      </c>
      <c r="D462" s="180" t="e">
        <f t="shared" si="9"/>
        <v>#REF!</v>
      </c>
      <c r="E462" s="181">
        <f t="shared" si="9"/>
        <v>0</v>
      </c>
      <c r="F462" s="181">
        <f t="shared" si="9"/>
        <v>0</v>
      </c>
      <c r="G462" s="181">
        <f t="shared" si="9"/>
        <v>16622479.140000001</v>
      </c>
      <c r="H462" s="182">
        <f t="shared" si="9"/>
        <v>35457270.810000002</v>
      </c>
      <c r="I462" s="182">
        <f t="shared" si="9"/>
        <v>35457270.810000002</v>
      </c>
      <c r="J462" s="181">
        <f t="shared" si="9"/>
        <v>16622479.140000001</v>
      </c>
      <c r="K462" s="142">
        <f>+G462-J462</f>
        <v>0</v>
      </c>
      <c r="L462" s="377">
        <f t="shared" si="9"/>
        <v>34488344.18</v>
      </c>
      <c r="M462" s="377">
        <f t="shared" si="9"/>
        <v>34488344.179999992</v>
      </c>
      <c r="N462" s="142"/>
    </row>
    <row r="463" spans="1:14" ht="15.75" hidden="1" customHeight="1">
      <c r="A463" s="164" t="s">
        <v>2029</v>
      </c>
      <c r="B463" s="165"/>
      <c r="C463" s="166"/>
      <c r="D463" s="166"/>
      <c r="E463" s="166"/>
      <c r="F463" s="166"/>
      <c r="G463" s="166"/>
      <c r="H463" s="166"/>
      <c r="I463" s="166"/>
      <c r="J463" s="166"/>
      <c r="K463" s="129"/>
    </row>
    <row r="464" spans="1:14" s="151" customFormat="1" ht="15.75" hidden="1" customHeight="1">
      <c r="A464" s="167" t="s">
        <v>2030</v>
      </c>
      <c r="B464" s="168"/>
      <c r="C464" s="169" t="e">
        <f>+C462-D462</f>
        <v>#REF!</v>
      </c>
      <c r="D464" s="170"/>
      <c r="E464" s="169">
        <f>+E462-F462</f>
        <v>0</v>
      </c>
      <c r="F464" s="170"/>
      <c r="G464" s="169">
        <f>+G462-J462</f>
        <v>0</v>
      </c>
      <c r="H464" s="169"/>
      <c r="I464" s="169"/>
      <c r="J464" s="170"/>
    </row>
    <row r="465" spans="1:13" ht="15.75" hidden="1" customHeight="1">
      <c r="A465" s="167" t="s">
        <v>2031</v>
      </c>
      <c r="B465" s="168"/>
      <c r="C465" s="169"/>
      <c r="D465" s="169"/>
      <c r="E465" s="169"/>
      <c r="F465" s="169"/>
      <c r="G465" s="169"/>
      <c r="H465" s="169"/>
      <c r="I465" s="169"/>
      <c r="J465" s="169"/>
      <c r="K465" s="129"/>
    </row>
    <row r="466" spans="1:13" ht="15.75" hidden="1" customHeight="1">
      <c r="A466" s="171" t="s">
        <v>2032</v>
      </c>
      <c r="B466" s="168"/>
      <c r="C466" s="169"/>
      <c r="D466" s="169"/>
      <c r="E466" s="169">
        <f>+E33</f>
        <v>0</v>
      </c>
      <c r="F466" s="169"/>
      <c r="G466" s="169"/>
      <c r="H466" s="169"/>
      <c r="I466" s="169"/>
      <c r="J466" s="169"/>
      <c r="K466" s="129"/>
    </row>
    <row r="467" spans="1:13" ht="15.75" hidden="1" customHeight="1">
      <c r="A467" s="171" t="s">
        <v>2033</v>
      </c>
      <c r="B467" s="168"/>
      <c r="C467" s="169"/>
      <c r="D467" s="169"/>
      <c r="E467" s="169"/>
      <c r="F467" s="169">
        <f>+F215</f>
        <v>0</v>
      </c>
      <c r="G467" s="169"/>
      <c r="H467" s="169"/>
      <c r="I467" s="169"/>
      <c r="J467" s="169"/>
      <c r="K467" s="129"/>
    </row>
    <row r="468" spans="1:13" ht="15.75" hidden="1" customHeight="1">
      <c r="A468" s="167" t="s">
        <v>2034</v>
      </c>
      <c r="B468" s="168"/>
      <c r="C468" s="169"/>
      <c r="D468" s="169"/>
      <c r="E468" s="169">
        <f>+E449</f>
        <v>0</v>
      </c>
      <c r="F468" s="169"/>
      <c r="G468" s="169"/>
      <c r="H468" s="169"/>
      <c r="I468" s="169"/>
      <c r="J468" s="169"/>
      <c r="K468" s="129"/>
    </row>
    <row r="469" spans="1:13" ht="15.75" hidden="1" customHeight="1">
      <c r="A469" s="167" t="s">
        <v>1172</v>
      </c>
      <c r="B469" s="168"/>
      <c r="C469" s="169"/>
      <c r="D469" s="169"/>
      <c r="E469" s="169"/>
      <c r="F469" s="169">
        <f>+F197</f>
        <v>0</v>
      </c>
      <c r="G469" s="169"/>
      <c r="H469" s="169"/>
      <c r="I469" s="169"/>
      <c r="J469" s="169"/>
      <c r="K469" s="129"/>
    </row>
    <row r="470" spans="1:13" ht="15.75" hidden="1" customHeight="1">
      <c r="A470" s="167" t="s">
        <v>1173</v>
      </c>
      <c r="B470" s="168"/>
      <c r="C470" s="169"/>
      <c r="D470" s="169"/>
      <c r="E470" s="169"/>
      <c r="F470" s="169"/>
      <c r="G470" s="169"/>
      <c r="H470" s="169"/>
      <c r="I470" s="169"/>
      <c r="J470" s="169"/>
      <c r="K470" s="129"/>
    </row>
    <row r="471" spans="1:13" ht="15.75" hidden="1" customHeight="1">
      <c r="A471" s="171" t="s">
        <v>1174</v>
      </c>
      <c r="B471" s="168"/>
      <c r="C471" s="169"/>
      <c r="D471" s="169"/>
      <c r="E471" s="169"/>
      <c r="F471" s="169"/>
      <c r="G471" s="169">
        <f>+G32</f>
        <v>0</v>
      </c>
      <c r="H471" s="169"/>
      <c r="I471" s="169"/>
      <c r="J471" s="169"/>
      <c r="K471" s="129"/>
    </row>
    <row r="472" spans="1:13" ht="15.75" hidden="1" customHeight="1">
      <c r="A472" s="171" t="s">
        <v>1175</v>
      </c>
      <c r="B472" s="168"/>
      <c r="C472" s="169"/>
      <c r="D472" s="169"/>
      <c r="E472" s="169"/>
      <c r="F472" s="169"/>
      <c r="G472" s="169"/>
      <c r="H472" s="169"/>
      <c r="I472" s="169"/>
      <c r="J472" s="169">
        <f>+J212</f>
        <v>0</v>
      </c>
      <c r="K472" s="129"/>
    </row>
    <row r="473" spans="1:13" ht="15.75" hidden="1" customHeight="1">
      <c r="A473" s="167" t="s">
        <v>468</v>
      </c>
      <c r="B473" s="168"/>
      <c r="C473" s="169"/>
      <c r="D473" s="169"/>
      <c r="E473" s="169"/>
      <c r="F473" s="169"/>
      <c r="G473" s="169">
        <f>+G448</f>
        <v>0</v>
      </c>
      <c r="H473" s="169"/>
      <c r="I473" s="169"/>
      <c r="J473" s="169"/>
      <c r="K473" s="129"/>
    </row>
    <row r="474" spans="1:13" ht="15.75" hidden="1" customHeight="1">
      <c r="A474" s="167" t="s">
        <v>469</v>
      </c>
      <c r="B474" s="168"/>
      <c r="C474" s="169"/>
      <c r="D474" s="169"/>
      <c r="E474" s="169"/>
      <c r="F474" s="169"/>
      <c r="G474" s="169"/>
      <c r="H474" s="169"/>
      <c r="I474" s="169"/>
      <c r="J474" s="169">
        <f>+J196</f>
        <v>0</v>
      </c>
      <c r="K474" s="129"/>
    </row>
    <row r="475" spans="1:13" ht="15.75" customHeight="1">
      <c r="A475" s="172"/>
      <c r="B475" s="173"/>
      <c r="C475" s="174"/>
      <c r="D475" s="174"/>
      <c r="E475" s="175"/>
      <c r="F475" s="175"/>
      <c r="G475" s="175"/>
      <c r="H475" s="175"/>
      <c r="I475" s="175"/>
      <c r="J475" s="175">
        <f>J462-G462</f>
        <v>0</v>
      </c>
      <c r="K475" s="129"/>
      <c r="M475" s="129">
        <f>L462-M462</f>
        <v>0</v>
      </c>
    </row>
    <row r="476" spans="1:13" ht="15.75" customHeight="1">
      <c r="A476" s="172"/>
      <c r="B476" s="173"/>
      <c r="C476" s="174"/>
      <c r="D476" s="174"/>
      <c r="E476" s="175"/>
      <c r="F476" s="175"/>
      <c r="G476" s="175"/>
      <c r="H476" s="175"/>
      <c r="I476" s="175"/>
      <c r="J476" s="175"/>
      <c r="K476" s="129">
        <f>+J475/2</f>
        <v>0</v>
      </c>
    </row>
    <row r="477" spans="1:13" ht="15.75" customHeight="1">
      <c r="A477" s="172"/>
      <c r="B477" s="173"/>
      <c r="C477" s="174"/>
      <c r="D477" s="174"/>
      <c r="E477" s="175"/>
      <c r="F477" s="175"/>
      <c r="G477" s="175"/>
      <c r="H477" s="175"/>
      <c r="I477" s="175"/>
      <c r="J477" s="175"/>
      <c r="K477" s="129"/>
    </row>
    <row r="478" spans="1:13" ht="15.75" customHeight="1">
      <c r="A478" s="172"/>
      <c r="B478" s="176" t="s">
        <v>1236</v>
      </c>
      <c r="C478" s="174"/>
      <c r="D478" s="174"/>
      <c r="E478" s="175"/>
      <c r="F478" s="175"/>
      <c r="G478" s="175"/>
      <c r="H478" s="175"/>
      <c r="I478" s="175"/>
      <c r="J478" s="175"/>
      <c r="K478" s="129"/>
    </row>
    <row r="479" spans="1:13" ht="15.75" customHeight="1">
      <c r="A479" s="172"/>
      <c r="B479" s="173"/>
      <c r="C479" s="174"/>
      <c r="D479" s="174"/>
      <c r="E479" s="175"/>
      <c r="F479" s="175"/>
      <c r="G479" s="175"/>
      <c r="H479" s="175"/>
      <c r="I479" s="175"/>
      <c r="J479" s="175"/>
      <c r="K479" s="129"/>
    </row>
    <row r="480" spans="1:13" ht="15.75" customHeight="1">
      <c r="A480" s="172"/>
      <c r="B480" s="173"/>
      <c r="C480" s="174"/>
      <c r="D480" s="174"/>
      <c r="E480" s="175"/>
      <c r="F480" s="175"/>
      <c r="G480" s="175"/>
      <c r="H480" s="175"/>
      <c r="I480" s="175"/>
      <c r="J480" s="175"/>
      <c r="K480" s="129"/>
    </row>
    <row r="481" spans="1:11" ht="15.75" customHeight="1">
      <c r="A481" s="172"/>
      <c r="B481" s="173"/>
      <c r="C481" s="174"/>
      <c r="D481" s="174"/>
      <c r="E481" s="175"/>
      <c r="F481" s="175"/>
      <c r="G481" s="175"/>
      <c r="H481" s="175"/>
      <c r="I481" s="175"/>
      <c r="J481" s="175"/>
      <c r="K481" s="129"/>
    </row>
    <row r="482" spans="1:11" ht="15.75" customHeight="1">
      <c r="A482" s="172"/>
      <c r="B482" s="173"/>
      <c r="C482" s="174"/>
      <c r="D482" s="174"/>
      <c r="E482" s="175"/>
      <c r="F482" s="175"/>
      <c r="G482" s="387" t="s">
        <v>2212</v>
      </c>
      <c r="H482" s="387"/>
      <c r="I482" s="387"/>
      <c r="J482" s="387"/>
      <c r="K482" s="129"/>
    </row>
    <row r="483" spans="1:11" ht="15.75" customHeight="1">
      <c r="A483" s="172"/>
      <c r="B483" s="173"/>
      <c r="C483" s="174"/>
      <c r="D483" s="174"/>
      <c r="E483" s="175"/>
      <c r="F483" s="175"/>
      <c r="G483" s="391" t="s">
        <v>1183</v>
      </c>
      <c r="H483" s="391"/>
      <c r="I483" s="391"/>
      <c r="J483" s="391"/>
      <c r="K483" s="129"/>
    </row>
    <row r="484" spans="1:11" ht="15.75" customHeight="1">
      <c r="G484" s="177"/>
      <c r="H484" s="128"/>
      <c r="K484" s="129"/>
    </row>
    <row r="485" spans="1:11" ht="15.75" customHeight="1">
      <c r="K485" s="129"/>
    </row>
    <row r="486" spans="1:11" ht="15.75" customHeight="1">
      <c r="K486" s="129"/>
    </row>
    <row r="487" spans="1:11" ht="15.75" customHeight="1">
      <c r="K487" s="129"/>
    </row>
  </sheetData>
  <mergeCells count="11">
    <mergeCell ref="M10:M11"/>
    <mergeCell ref="L9:M9"/>
    <mergeCell ref="G483:J483"/>
    <mergeCell ref="B10:B11"/>
    <mergeCell ref="G10:G11"/>
    <mergeCell ref="J10:J11"/>
    <mergeCell ref="A10:A11"/>
    <mergeCell ref="H10:H11"/>
    <mergeCell ref="I10:I11"/>
    <mergeCell ref="G482:J482"/>
    <mergeCell ref="L10:L11"/>
  </mergeCells>
  <phoneticPr fontId="34" type="noConversion"/>
  <printOptions horizontalCentered="1"/>
  <pageMargins left="1" right="1" top="1" bottom="1" header="0.5" footer="0.5"/>
  <pageSetup paperSize="149" scale="85" orientation="portrait" r:id="rId1"/>
  <headerFooter alignWithMargins="0"/>
</worksheet>
</file>

<file path=xl/worksheets/sheet2.xml><?xml version="1.0" encoding="utf-8"?>
<worksheet xmlns="http://schemas.openxmlformats.org/spreadsheetml/2006/main" xmlns:r="http://schemas.openxmlformats.org/officeDocument/2006/relationships">
  <dimension ref="A1:N64"/>
  <sheetViews>
    <sheetView topLeftCell="A6" workbookViewId="0">
      <selection activeCell="E16" sqref="E16"/>
    </sheetView>
  </sheetViews>
  <sheetFormatPr defaultRowHeight="15"/>
  <cols>
    <col min="1" max="1" width="3.28515625" style="349" customWidth="1"/>
    <col min="2" max="2" width="3.140625" style="349" customWidth="1"/>
    <col min="3" max="3" width="2.85546875" style="349" customWidth="1"/>
    <col min="4" max="4" width="60" style="349" customWidth="1"/>
    <col min="5" max="5" width="15.28515625" style="349" bestFit="1" customWidth="1"/>
    <col min="6" max="7" width="15.28515625" style="349" customWidth="1"/>
    <col min="8" max="8" width="3.42578125" style="349" customWidth="1"/>
    <col min="9" max="9" width="238.28515625" style="350" customWidth="1"/>
    <col min="10" max="16384" width="9.140625" style="349"/>
  </cols>
  <sheetData>
    <row r="1" spans="1:11">
      <c r="A1" s="367" t="s">
        <v>1016</v>
      </c>
      <c r="B1" s="367"/>
      <c r="C1" s="367"/>
      <c r="D1" s="367"/>
      <c r="E1" s="367"/>
      <c r="F1" s="367"/>
      <c r="G1" s="367"/>
    </row>
    <row r="2" spans="1:11">
      <c r="A2" s="368" t="s">
        <v>1017</v>
      </c>
      <c r="B2" s="368"/>
      <c r="C2" s="368"/>
      <c r="D2" s="368"/>
      <c r="E2" s="368"/>
      <c r="F2" s="368"/>
      <c r="G2" s="368"/>
    </row>
    <row r="3" spans="1:11">
      <c r="A3" s="367" t="s">
        <v>1018</v>
      </c>
      <c r="B3" s="367"/>
      <c r="C3" s="367"/>
      <c r="D3" s="367"/>
      <c r="E3" s="367"/>
      <c r="F3" s="367"/>
      <c r="G3" s="367"/>
    </row>
    <row r="4" spans="1:11">
      <c r="A4" s="395"/>
      <c r="B4" s="395"/>
      <c r="C4" s="395"/>
      <c r="D4" s="395"/>
      <c r="E4" s="395"/>
      <c r="F4" s="369"/>
      <c r="G4" s="369"/>
    </row>
    <row r="5" spans="1:11">
      <c r="A5" s="395"/>
      <c r="B5" s="396"/>
      <c r="C5" s="396"/>
      <c r="D5" s="396"/>
      <c r="E5" s="396"/>
      <c r="F5" s="370"/>
      <c r="G5" s="370"/>
    </row>
    <row r="6" spans="1:11">
      <c r="A6" s="368" t="s">
        <v>2067</v>
      </c>
      <c r="B6" s="368"/>
      <c r="C6" s="368"/>
      <c r="D6" s="368"/>
      <c r="E6" s="368"/>
      <c r="F6" s="368"/>
      <c r="G6" s="368"/>
    </row>
    <row r="7" spans="1:11">
      <c r="A7" s="367" t="s">
        <v>2624</v>
      </c>
      <c r="B7" s="367"/>
      <c r="C7" s="367"/>
      <c r="D7" s="367"/>
      <c r="E7" s="367"/>
      <c r="F7" s="367"/>
      <c r="G7" s="367"/>
    </row>
    <row r="8" spans="1:11">
      <c r="A8" s="395"/>
      <c r="B8" s="396"/>
      <c r="C8" s="396"/>
      <c r="D8" s="396"/>
      <c r="E8" s="396"/>
      <c r="F8" s="370"/>
      <c r="G8" s="370"/>
      <c r="K8" s="349" t="s">
        <v>282</v>
      </c>
    </row>
    <row r="9" spans="1:11">
      <c r="A9" s="395"/>
      <c r="B9" s="396"/>
      <c r="C9" s="396"/>
      <c r="D9" s="396"/>
      <c r="E9" s="396"/>
      <c r="F9" s="370" t="s">
        <v>2628</v>
      </c>
      <c r="G9" s="370" t="s">
        <v>2627</v>
      </c>
    </row>
    <row r="10" spans="1:11">
      <c r="A10" s="395"/>
      <c r="B10" s="396"/>
      <c r="C10" s="396"/>
      <c r="D10" s="396"/>
      <c r="E10" s="396"/>
      <c r="F10" s="374">
        <v>40513</v>
      </c>
      <c r="G10" s="374">
        <v>40544</v>
      </c>
      <c r="H10" s="349" t="s">
        <v>2623</v>
      </c>
    </row>
    <row r="11" spans="1:11">
      <c r="A11" s="358" t="s">
        <v>2622</v>
      </c>
      <c r="B11" s="358"/>
      <c r="C11" s="358"/>
      <c r="D11" s="358"/>
      <c r="E11" s="358"/>
      <c r="F11" s="358"/>
      <c r="G11" s="371"/>
    </row>
    <row r="12" spans="1:11">
      <c r="A12" s="358"/>
      <c r="B12" s="358" t="s">
        <v>2068</v>
      </c>
      <c r="C12" s="358"/>
      <c r="D12" s="358"/>
      <c r="E12" s="360"/>
      <c r="F12" s="360"/>
      <c r="G12" s="372"/>
    </row>
    <row r="13" spans="1:11" hidden="1">
      <c r="A13" s="358"/>
      <c r="B13" s="358"/>
      <c r="C13" s="358" t="s">
        <v>2621</v>
      </c>
      <c r="D13" s="358"/>
      <c r="E13" s="360"/>
      <c r="F13" s="360"/>
      <c r="G13" s="372"/>
      <c r="H13" s="349" t="s">
        <v>2613</v>
      </c>
      <c r="I13" s="350">
        <v>665</v>
      </c>
    </row>
    <row r="14" spans="1:11" hidden="1">
      <c r="A14" s="358"/>
      <c r="B14" s="358"/>
      <c r="C14" s="358" t="s">
        <v>2620</v>
      </c>
      <c r="D14" s="358"/>
      <c r="E14" s="360"/>
      <c r="F14" s="360"/>
      <c r="G14" s="372"/>
      <c r="H14" s="349" t="s">
        <v>2588</v>
      </c>
      <c r="I14" s="356" t="s">
        <v>2619</v>
      </c>
    </row>
    <row r="15" spans="1:11" hidden="1">
      <c r="A15" s="358"/>
      <c r="B15" s="358"/>
      <c r="C15" s="358" t="s">
        <v>2618</v>
      </c>
      <c r="D15" s="358"/>
      <c r="E15" s="360"/>
      <c r="F15" s="360"/>
      <c r="G15" s="372"/>
      <c r="H15" s="349" t="s">
        <v>2588</v>
      </c>
      <c r="I15" s="350" t="s">
        <v>2617</v>
      </c>
    </row>
    <row r="16" spans="1:11">
      <c r="A16" s="358"/>
      <c r="B16" s="358"/>
      <c r="C16" s="358" t="s">
        <v>2616</v>
      </c>
      <c r="D16" s="358"/>
      <c r="E16" s="360">
        <f>F16+G16</f>
        <v>171088.46</v>
      </c>
      <c r="F16" s="360">
        <v>171088.46</v>
      </c>
      <c r="G16" s="372"/>
      <c r="H16" s="349" t="s">
        <v>2588</v>
      </c>
      <c r="I16" s="366">
        <v>664</v>
      </c>
    </row>
    <row r="17" spans="1:14" hidden="1">
      <c r="A17" s="358"/>
      <c r="B17" s="358"/>
      <c r="C17" s="358" t="s">
        <v>2615</v>
      </c>
      <c r="D17" s="358"/>
      <c r="E17" s="360">
        <f t="shared" ref="E17:E18" si="0">F17+G17</f>
        <v>0</v>
      </c>
      <c r="F17" s="360"/>
      <c r="G17" s="372"/>
      <c r="H17" s="349" t="s">
        <v>2588</v>
      </c>
      <c r="I17" s="350">
        <v>661</v>
      </c>
    </row>
    <row r="18" spans="1:14" ht="15.75" thickBot="1">
      <c r="A18" s="358"/>
      <c r="B18" s="358"/>
      <c r="C18" s="358" t="s">
        <v>2614</v>
      </c>
      <c r="D18" s="358"/>
      <c r="E18" s="360">
        <f t="shared" si="0"/>
        <v>223815998.04000002</v>
      </c>
      <c r="F18" s="357">
        <v>199669444.88000003</v>
      </c>
      <c r="G18" s="380">
        <f>TB!M38+TB!M41+TB!M181+TB!M184+TB!M186+TB!M189</f>
        <v>24146553.159999996</v>
      </c>
      <c r="H18" s="349" t="s">
        <v>2613</v>
      </c>
      <c r="I18" s="356" t="s">
        <v>2612</v>
      </c>
    </row>
    <row r="19" spans="1:14" ht="16.5" thickTop="1" thickBot="1">
      <c r="A19" s="358"/>
      <c r="B19" s="358"/>
      <c r="C19" s="358" t="s">
        <v>2587</v>
      </c>
      <c r="D19" s="358"/>
      <c r="E19" s="364">
        <f>SUM(E16:E18)</f>
        <v>223987086.50000003</v>
      </c>
      <c r="F19" s="364">
        <v>199840533.34000003</v>
      </c>
      <c r="G19" s="380">
        <f>G18+G16</f>
        <v>24146553.159999996</v>
      </c>
    </row>
    <row r="20" spans="1:14" ht="15.75" thickTop="1">
      <c r="A20" s="358"/>
      <c r="B20" s="358" t="s">
        <v>2586</v>
      </c>
      <c r="C20" s="358"/>
      <c r="D20" s="358"/>
      <c r="E20" s="359"/>
      <c r="F20" s="359"/>
      <c r="G20" s="372"/>
    </row>
    <row r="21" spans="1:14">
      <c r="A21" s="358"/>
      <c r="B21" s="358"/>
      <c r="C21" s="358" t="s">
        <v>2611</v>
      </c>
      <c r="D21" s="358"/>
      <c r="E21" s="360"/>
      <c r="F21" s="360"/>
      <c r="G21" s="372"/>
    </row>
    <row r="22" spans="1:14">
      <c r="A22" s="358"/>
      <c r="B22" s="358"/>
      <c r="C22" s="358"/>
      <c r="D22" s="358" t="s">
        <v>2610</v>
      </c>
      <c r="E22" s="360">
        <f t="shared" ref="E22:E25" si="1">F22+G22</f>
        <v>7235118.2599999998</v>
      </c>
      <c r="F22" s="360">
        <v>5041872.28</v>
      </c>
      <c r="G22" s="372">
        <f>TB!L51+TB!L53</f>
        <v>2193245.98</v>
      </c>
      <c r="H22" s="349" t="s">
        <v>2582</v>
      </c>
      <c r="I22" s="350" t="s">
        <v>2609</v>
      </c>
    </row>
    <row r="23" spans="1:14">
      <c r="A23" s="358"/>
      <c r="B23" s="358"/>
      <c r="C23" s="358"/>
      <c r="D23" s="358" t="s">
        <v>2608</v>
      </c>
      <c r="E23" s="360">
        <f t="shared" si="1"/>
        <v>12955182.660000015</v>
      </c>
      <c r="F23" s="360">
        <v>12196931.740000015</v>
      </c>
      <c r="G23" s="372">
        <f>TB!L41</f>
        <v>758250.92</v>
      </c>
      <c r="H23" s="349" t="s">
        <v>2582</v>
      </c>
      <c r="I23" s="356" t="s">
        <v>2607</v>
      </c>
      <c r="N23" s="365"/>
    </row>
    <row r="24" spans="1:14" hidden="1">
      <c r="A24" s="358"/>
      <c r="B24" s="358"/>
      <c r="C24" s="358" t="s">
        <v>2606</v>
      </c>
      <c r="D24" s="358"/>
      <c r="E24" s="360">
        <f t="shared" si="1"/>
        <v>0</v>
      </c>
      <c r="F24" s="360"/>
      <c r="G24" s="372"/>
      <c r="H24" s="349" t="s">
        <v>2582</v>
      </c>
      <c r="I24" s="350" t="s">
        <v>2605</v>
      </c>
    </row>
    <row r="25" spans="1:14" ht="15.75" thickBot="1">
      <c r="A25" s="358"/>
      <c r="B25" s="358"/>
      <c r="C25" s="358" t="s">
        <v>2604</v>
      </c>
      <c r="D25" s="358"/>
      <c r="E25" s="357">
        <f t="shared" si="1"/>
        <v>124394955.94</v>
      </c>
      <c r="F25" s="357">
        <v>117591650.37</v>
      </c>
      <c r="G25" s="380">
        <f>TB!L177+TB!L178+TB!L179+TB!L180+TB!L181+TB!L184+TB!L186+TB!L189</f>
        <v>6803305.5700000003</v>
      </c>
      <c r="H25" s="349" t="s">
        <v>2582</v>
      </c>
      <c r="I25" s="356" t="s">
        <v>2603</v>
      </c>
    </row>
    <row r="26" spans="1:14" ht="16.5" thickTop="1" thickBot="1">
      <c r="A26" s="358"/>
      <c r="B26" s="358"/>
      <c r="C26" s="358" t="s">
        <v>2580</v>
      </c>
      <c r="D26" s="358"/>
      <c r="E26" s="364">
        <f>SUM(E22:E25)</f>
        <v>144585256.86000001</v>
      </c>
      <c r="F26" s="364">
        <v>134830454.39000002</v>
      </c>
      <c r="G26" s="380">
        <f>SUM(G22:G25)</f>
        <v>9754802.4700000007</v>
      </c>
    </row>
    <row r="27" spans="1:14" ht="16.5" thickTop="1" thickBot="1">
      <c r="A27" s="358"/>
      <c r="B27" s="358" t="s">
        <v>2579</v>
      </c>
      <c r="C27" s="358"/>
      <c r="D27" s="358"/>
      <c r="E27" s="361">
        <f>E19-E26</f>
        <v>79401829.640000015</v>
      </c>
      <c r="F27" s="361">
        <v>65010078.950000018</v>
      </c>
      <c r="G27" s="381">
        <f>G19-G26</f>
        <v>14391750.689999996</v>
      </c>
    </row>
    <row r="28" spans="1:14" ht="15.75" thickTop="1">
      <c r="A28" s="358" t="s">
        <v>2602</v>
      </c>
      <c r="B28" s="358"/>
      <c r="C28" s="358"/>
      <c r="D28" s="358"/>
      <c r="E28" s="359"/>
      <c r="F28" s="359"/>
      <c r="G28" s="372"/>
    </row>
    <row r="29" spans="1:14" hidden="1">
      <c r="A29" s="358"/>
      <c r="B29" s="358" t="s">
        <v>2068</v>
      </c>
      <c r="C29" s="358"/>
      <c r="D29" s="358"/>
      <c r="E29" s="360"/>
      <c r="F29" s="360"/>
      <c r="G29" s="372"/>
    </row>
    <row r="30" spans="1:14" hidden="1">
      <c r="A30" s="358"/>
      <c r="B30" s="358"/>
      <c r="C30" s="358" t="s">
        <v>2601</v>
      </c>
      <c r="D30" s="358"/>
      <c r="E30" s="360"/>
      <c r="F30" s="360"/>
      <c r="G30" s="372"/>
      <c r="H30" s="349" t="s">
        <v>2588</v>
      </c>
      <c r="I30" s="350" t="s">
        <v>2600</v>
      </c>
    </row>
    <row r="31" spans="1:14" hidden="1">
      <c r="A31" s="358"/>
      <c r="B31" s="358"/>
      <c r="C31" s="358" t="s">
        <v>2599</v>
      </c>
      <c r="D31" s="358"/>
      <c r="E31" s="360"/>
      <c r="F31" s="360"/>
      <c r="G31" s="372"/>
    </row>
    <row r="32" spans="1:14" ht="15.75" hidden="1" thickBot="1">
      <c r="A32" s="358"/>
      <c r="B32" s="358"/>
      <c r="C32" s="358" t="s">
        <v>2598</v>
      </c>
      <c r="D32" s="358"/>
      <c r="E32" s="360"/>
      <c r="F32" s="360"/>
      <c r="G32" s="380"/>
      <c r="H32" s="349" t="s">
        <v>2588</v>
      </c>
      <c r="I32" s="350" t="s">
        <v>2597</v>
      </c>
    </row>
    <row r="33" spans="1:11" ht="16.5" hidden="1" thickTop="1" thickBot="1">
      <c r="A33" s="358"/>
      <c r="B33" s="358"/>
      <c r="C33" s="358" t="s">
        <v>2587</v>
      </c>
      <c r="D33" s="358"/>
      <c r="E33" s="360"/>
      <c r="F33" s="360"/>
      <c r="G33" s="380"/>
      <c r="H33" s="349" t="s">
        <v>282</v>
      </c>
    </row>
    <row r="34" spans="1:11">
      <c r="A34" s="358"/>
      <c r="B34" s="358" t="s">
        <v>2586</v>
      </c>
      <c r="C34" s="358"/>
      <c r="D34" s="358"/>
      <c r="E34" s="360"/>
      <c r="F34" s="360"/>
      <c r="G34" s="372"/>
    </row>
    <row r="35" spans="1:11" ht="30" customHeight="1" thickBot="1">
      <c r="A35" s="358"/>
      <c r="B35" s="358"/>
      <c r="C35" s="394" t="s">
        <v>2596</v>
      </c>
      <c r="D35" s="394"/>
      <c r="E35" s="360">
        <f t="shared" ref="E35" si="2">F35+G35</f>
        <v>97141069.939999998</v>
      </c>
      <c r="F35" s="363">
        <v>97081853.789999992</v>
      </c>
      <c r="G35" s="373">
        <f>TB!L107</f>
        <v>59216.15</v>
      </c>
      <c r="H35" s="362"/>
      <c r="I35" s="350" t="s">
        <v>2595</v>
      </c>
      <c r="J35" s="362"/>
      <c r="K35" s="362"/>
    </row>
    <row r="36" spans="1:11" ht="15.75" hidden="1" thickTop="1">
      <c r="A36" s="358"/>
      <c r="B36" s="358"/>
      <c r="C36" s="358" t="s">
        <v>2594</v>
      </c>
      <c r="D36" s="358"/>
      <c r="E36" s="359"/>
      <c r="F36" s="359"/>
      <c r="G36" s="372"/>
      <c r="H36" s="349" t="s">
        <v>2582</v>
      </c>
      <c r="I36" s="350" t="s">
        <v>2593</v>
      </c>
    </row>
    <row r="37" spans="1:11" hidden="1">
      <c r="A37" s="358"/>
      <c r="B37" s="358"/>
      <c r="C37" s="358" t="s">
        <v>2592</v>
      </c>
      <c r="D37" s="358"/>
      <c r="E37" s="360"/>
      <c r="F37" s="360"/>
      <c r="G37" s="372"/>
    </row>
    <row r="38" spans="1:11" ht="16.5" thickTop="1" thickBot="1">
      <c r="A38" s="358"/>
      <c r="B38" s="358"/>
      <c r="C38" s="358" t="s">
        <v>2580</v>
      </c>
      <c r="D38" s="358"/>
      <c r="E38" s="357">
        <f>SUM(E35:E37)</f>
        <v>97141069.939999998</v>
      </c>
      <c r="F38" s="357">
        <v>97081853.789999992</v>
      </c>
      <c r="G38" s="357">
        <f>SUM(G35:G37)</f>
        <v>59216.15</v>
      </c>
    </row>
    <row r="39" spans="1:11" ht="16.5" thickTop="1" thickBot="1">
      <c r="A39" s="358"/>
      <c r="B39" s="358" t="s">
        <v>2579</v>
      </c>
      <c r="C39" s="358"/>
      <c r="D39" s="358"/>
      <c r="E39" s="361">
        <f>E33-E38</f>
        <v>-97141069.939999998</v>
      </c>
      <c r="F39" s="361">
        <v>-97081853.789999992</v>
      </c>
      <c r="G39" s="381">
        <f>G33-G38</f>
        <v>-59216.15</v>
      </c>
    </row>
    <row r="40" spans="1:11" ht="15.75" hidden="1" thickTop="1">
      <c r="A40" s="358" t="s">
        <v>2591</v>
      </c>
      <c r="B40" s="358"/>
      <c r="C40" s="358"/>
      <c r="D40" s="358"/>
      <c r="E40" s="359"/>
      <c r="F40" s="359"/>
      <c r="G40" s="372"/>
    </row>
    <row r="41" spans="1:11" ht="15.75" hidden="1" thickTop="1">
      <c r="A41" s="358"/>
      <c r="B41" s="358" t="s">
        <v>2068</v>
      </c>
      <c r="C41" s="358"/>
      <c r="D41" s="358"/>
      <c r="E41" s="360"/>
      <c r="F41" s="360"/>
      <c r="G41" s="372"/>
    </row>
    <row r="42" spans="1:11" ht="15.75" hidden="1" thickTop="1">
      <c r="A42" s="358"/>
      <c r="B42" s="358"/>
      <c r="C42" s="358" t="s">
        <v>2590</v>
      </c>
      <c r="D42" s="358"/>
      <c r="E42" s="360"/>
      <c r="F42" s="360"/>
      <c r="G42" s="372"/>
      <c r="H42" s="349" t="s">
        <v>2588</v>
      </c>
      <c r="I42" s="350" t="s">
        <v>2584</v>
      </c>
    </row>
    <row r="43" spans="1:11" ht="15.75" hidden="1" thickTop="1">
      <c r="A43" s="358"/>
      <c r="B43" s="358"/>
      <c r="C43" s="358" t="s">
        <v>2589</v>
      </c>
      <c r="D43" s="358"/>
      <c r="E43" s="360"/>
      <c r="F43" s="360"/>
      <c r="G43" s="372"/>
      <c r="H43" s="349" t="s">
        <v>2588</v>
      </c>
      <c r="I43" s="350" t="s">
        <v>2581</v>
      </c>
    </row>
    <row r="44" spans="1:11" ht="15.75" hidden="1" thickTop="1">
      <c r="A44" s="358"/>
      <c r="B44" s="358"/>
      <c r="C44" s="358" t="s">
        <v>2587</v>
      </c>
      <c r="D44" s="358"/>
      <c r="E44" s="360"/>
      <c r="F44" s="360"/>
      <c r="G44" s="372"/>
    </row>
    <row r="45" spans="1:11" ht="15.75" hidden="1" thickTop="1">
      <c r="A45" s="358"/>
      <c r="B45" s="358" t="s">
        <v>2586</v>
      </c>
      <c r="C45" s="358"/>
      <c r="D45" s="358"/>
      <c r="E45" s="360"/>
      <c r="F45" s="360"/>
      <c r="G45" s="372"/>
    </row>
    <row r="46" spans="1:11" ht="15.75" hidden="1" thickTop="1">
      <c r="A46" s="358"/>
      <c r="B46" s="358"/>
      <c r="C46" s="358" t="s">
        <v>2585</v>
      </c>
      <c r="D46" s="358"/>
      <c r="E46" s="360"/>
      <c r="F46" s="360"/>
      <c r="G46" s="372"/>
      <c r="H46" s="349" t="s">
        <v>2582</v>
      </c>
      <c r="I46" s="350" t="s">
        <v>2584</v>
      </c>
    </row>
    <row r="47" spans="1:11" ht="15.75" hidden="1" thickTop="1">
      <c r="A47" s="358"/>
      <c r="B47" s="358"/>
      <c r="C47" s="358" t="s">
        <v>2583</v>
      </c>
      <c r="D47" s="358"/>
      <c r="E47" s="360"/>
      <c r="F47" s="360"/>
      <c r="G47" s="372"/>
      <c r="H47" s="349" t="s">
        <v>2582</v>
      </c>
      <c r="I47" s="350" t="s">
        <v>2581</v>
      </c>
    </row>
    <row r="48" spans="1:11" ht="15.75" hidden="1" thickTop="1">
      <c r="A48" s="358"/>
      <c r="B48" s="358"/>
      <c r="C48" s="358" t="s">
        <v>2580</v>
      </c>
      <c r="D48" s="358"/>
      <c r="E48" s="360"/>
      <c r="F48" s="360"/>
      <c r="G48" s="372"/>
    </row>
    <row r="49" spans="1:9" ht="15.75" hidden="1" thickTop="1">
      <c r="A49" s="358"/>
      <c r="B49" s="358" t="s">
        <v>2579</v>
      </c>
      <c r="C49" s="358"/>
      <c r="D49" s="358"/>
      <c r="E49" s="360"/>
      <c r="F49" s="360"/>
      <c r="G49" s="372"/>
    </row>
    <row r="50" spans="1:9" ht="15.75" thickTop="1">
      <c r="A50" s="358" t="s">
        <v>2578</v>
      </c>
      <c r="B50" s="358"/>
      <c r="C50" s="358"/>
      <c r="D50" s="358"/>
      <c r="E50" s="382">
        <f>E27+E39</f>
        <v>-17739240.299999982</v>
      </c>
      <c r="F50" s="360">
        <v>-32071774.839999974</v>
      </c>
      <c r="G50" s="382">
        <f>G27+G39</f>
        <v>14332534.539999995</v>
      </c>
    </row>
    <row r="51" spans="1:9">
      <c r="A51" s="358" t="s">
        <v>2577</v>
      </c>
      <c r="B51" s="358"/>
      <c r="C51" s="358"/>
      <c r="D51" s="358"/>
      <c r="E51" s="359">
        <v>106555897.01000001</v>
      </c>
      <c r="F51" s="359">
        <v>106555897.01000001</v>
      </c>
      <c r="G51" s="360">
        <v>74484122.170000032</v>
      </c>
    </row>
    <row r="52" spans="1:9" ht="15.75" thickBot="1">
      <c r="A52" s="358" t="s">
        <v>2576</v>
      </c>
      <c r="B52" s="358"/>
      <c r="C52" s="358"/>
      <c r="D52" s="358"/>
      <c r="E52" s="379">
        <f>E51+E50</f>
        <v>88816656.710000023</v>
      </c>
      <c r="F52" s="357">
        <v>74484122.170000032</v>
      </c>
      <c r="G52" s="379">
        <f>G51+G50</f>
        <v>88816656.710000023</v>
      </c>
    </row>
    <row r="53" spans="1:9" ht="15.75" thickTop="1">
      <c r="I53" s="356" t="s">
        <v>2575</v>
      </c>
    </row>
    <row r="54" spans="1:9" hidden="1">
      <c r="D54" s="355">
        <v>74484122.169999987</v>
      </c>
      <c r="E54" s="354">
        <v>0</v>
      </c>
      <c r="F54" s="354"/>
      <c r="G54" s="354"/>
    </row>
    <row r="59" spans="1:9">
      <c r="A59" s="353" t="s">
        <v>1236</v>
      </c>
    </row>
    <row r="60" spans="1:9">
      <c r="A60" s="353"/>
    </row>
    <row r="61" spans="1:9">
      <c r="A61" s="353"/>
    </row>
    <row r="62" spans="1:9">
      <c r="A62" s="353"/>
    </row>
    <row r="63" spans="1:9">
      <c r="A63" s="352" t="s">
        <v>1237</v>
      </c>
    </row>
    <row r="64" spans="1:9">
      <c r="A64" s="351" t="s">
        <v>2574</v>
      </c>
    </row>
  </sheetData>
  <mergeCells count="6">
    <mergeCell ref="C35:D35"/>
    <mergeCell ref="A4:E4"/>
    <mergeCell ref="A5:E5"/>
    <mergeCell ref="A8:E8"/>
    <mergeCell ref="A9:E9"/>
    <mergeCell ref="A10:E10"/>
  </mergeCells>
  <pageMargins left="1" right="1" top="1" bottom="1" header="0.3" footer="0.3"/>
  <pageSetup orientation="portrait" horizontalDpi="4294967293" verticalDpi="0" r:id="rId1"/>
  <legacyDrawing r:id="rId2"/>
</worksheet>
</file>

<file path=xl/worksheets/sheet3.xml><?xml version="1.0" encoding="utf-8"?>
<worksheet xmlns="http://schemas.openxmlformats.org/spreadsheetml/2006/main" xmlns:r="http://schemas.openxmlformats.org/officeDocument/2006/relationships">
  <dimension ref="A1:H284"/>
  <sheetViews>
    <sheetView workbookViewId="0">
      <selection activeCell="J20" sqref="J20"/>
    </sheetView>
  </sheetViews>
  <sheetFormatPr defaultRowHeight="15.75" customHeight="1"/>
  <cols>
    <col min="1" max="2" width="1.28515625" style="29" customWidth="1"/>
    <col min="3" max="3" width="1.7109375" style="29" customWidth="1"/>
    <col min="4" max="4" width="60.7109375" style="29" customWidth="1"/>
    <col min="5" max="5" width="17.42578125" style="32" hidden="1" customWidth="1"/>
    <col min="6" max="6" width="16.7109375" style="125" customWidth="1"/>
    <col min="7" max="7" width="16.7109375" style="32" hidden="1" customWidth="1"/>
    <col min="8" max="8" width="0.140625" style="32" hidden="1" customWidth="1"/>
    <col min="9" max="9" width="9.140625" style="29"/>
    <col min="10" max="10" width="13.85546875" style="29" customWidth="1"/>
    <col min="11" max="16384" width="9.140625" style="29"/>
  </cols>
  <sheetData>
    <row r="1" spans="1:8" s="1" customFormat="1" ht="16.5" customHeight="1">
      <c r="A1" s="6" t="s">
        <v>1016</v>
      </c>
      <c r="B1" s="6"/>
      <c r="C1" s="6"/>
      <c r="D1" s="6"/>
      <c r="E1" s="6"/>
      <c r="F1" s="118"/>
      <c r="G1" s="3"/>
    </row>
    <row r="2" spans="1:8" s="1" customFormat="1" ht="15.75" customHeight="1">
      <c r="A2" s="7" t="s">
        <v>1017</v>
      </c>
      <c r="B2" s="7"/>
      <c r="C2" s="7"/>
      <c r="D2" s="7"/>
      <c r="E2" s="7"/>
      <c r="F2" s="119"/>
      <c r="G2" s="5"/>
    </row>
    <row r="3" spans="1:8" s="1" customFormat="1" ht="15.75" customHeight="1">
      <c r="A3" s="6" t="s">
        <v>1018</v>
      </c>
      <c r="B3" s="6"/>
      <c r="C3" s="6"/>
      <c r="D3" s="6"/>
      <c r="E3" s="6"/>
      <c r="F3" s="118"/>
      <c r="G3" s="3"/>
    </row>
    <row r="4" spans="1:8" s="1" customFormat="1" ht="15.75" customHeight="1">
      <c r="A4" s="12"/>
      <c r="B4" s="12"/>
      <c r="C4" s="12"/>
      <c r="D4" s="12"/>
      <c r="E4" s="12"/>
      <c r="F4" s="120"/>
      <c r="G4" s="2"/>
    </row>
    <row r="5" spans="1:8" s="1" customFormat="1" ht="15.75" customHeight="1">
      <c r="A5" s="397" t="s">
        <v>281</v>
      </c>
      <c r="B5" s="397"/>
      <c r="C5" s="397"/>
      <c r="D5" s="397"/>
      <c r="E5" s="397"/>
      <c r="F5" s="397"/>
      <c r="G5" s="5"/>
    </row>
    <row r="6" spans="1:8" s="1" customFormat="1" ht="15.75" customHeight="1">
      <c r="A6" s="397" t="s">
        <v>1240</v>
      </c>
      <c r="B6" s="397"/>
      <c r="C6" s="397"/>
      <c r="D6" s="397"/>
      <c r="E6" s="397"/>
      <c r="F6" s="397"/>
      <c r="G6" s="3"/>
    </row>
    <row r="7" spans="1:8" s="1" customFormat="1" ht="15.75" customHeight="1">
      <c r="A7" s="398" t="str">
        <f>+TB!A7</f>
        <v>As of  January  31, 2011</v>
      </c>
      <c r="B7" s="398"/>
      <c r="C7" s="398"/>
      <c r="D7" s="398"/>
      <c r="E7" s="398"/>
      <c r="F7" s="398"/>
      <c r="G7" s="3"/>
    </row>
    <row r="8" spans="1:8" s="1" customFormat="1" ht="15.75" customHeight="1">
      <c r="A8" s="4"/>
      <c r="B8" s="4"/>
      <c r="C8" s="4"/>
      <c r="D8" s="4"/>
      <c r="E8" s="4"/>
      <c r="F8" s="121"/>
      <c r="G8" s="3"/>
    </row>
    <row r="9" spans="1:8" s="14" customFormat="1" ht="15.75" customHeight="1">
      <c r="A9" s="65" t="s">
        <v>1241</v>
      </c>
      <c r="B9" s="65"/>
      <c r="C9" s="65"/>
      <c r="D9" s="65"/>
      <c r="E9" s="66"/>
      <c r="F9" s="49"/>
      <c r="G9" s="53"/>
      <c r="H9" s="13"/>
    </row>
    <row r="10" spans="1:8" s="14" customFormat="1" ht="15.75" customHeight="1">
      <c r="A10" s="65" t="s">
        <v>1242</v>
      </c>
      <c r="B10" s="65"/>
      <c r="C10" s="65"/>
      <c r="D10" s="65"/>
      <c r="E10" s="67"/>
      <c r="F10" s="74"/>
      <c r="G10" s="54"/>
      <c r="H10" s="15"/>
    </row>
    <row r="11" spans="1:8" s="14" customFormat="1" ht="15.75" customHeight="1">
      <c r="A11" s="65"/>
      <c r="B11" s="65" t="s">
        <v>1243</v>
      </c>
      <c r="C11" s="65"/>
      <c r="D11" s="65"/>
      <c r="E11" s="67" t="e">
        <f>+E12+E17+E22</f>
        <v>#REF!</v>
      </c>
      <c r="F11" s="74">
        <f>+F12+F17+F22</f>
        <v>14332534.540000001</v>
      </c>
      <c r="G11" s="54" t="e">
        <f>+G12+G17+G22</f>
        <v>#REF!</v>
      </c>
      <c r="H11" s="15" t="e">
        <f>+H12+H17+H22</f>
        <v>#REF!</v>
      </c>
    </row>
    <row r="12" spans="1:8" s="14" customFormat="1" ht="15.75" customHeight="1">
      <c r="A12" s="65"/>
      <c r="B12" s="65"/>
      <c r="C12" s="65" t="s">
        <v>1244</v>
      </c>
      <c r="D12" s="65"/>
      <c r="E12" s="67" t="e">
        <f>SUM(E13:E16)</f>
        <v>#REF!</v>
      </c>
      <c r="F12" s="74">
        <f>SUM(F13:F16)</f>
        <v>-0.80000000004656613</v>
      </c>
      <c r="G12" s="54" t="e">
        <f>SUM(G13:G16)</f>
        <v>#REF!</v>
      </c>
      <c r="H12" s="15" t="e">
        <f>SUM(H13:H16)</f>
        <v>#REF!</v>
      </c>
    </row>
    <row r="13" spans="1:8" s="17" customFormat="1" ht="15.75" hidden="1" customHeight="1">
      <c r="A13" s="43"/>
      <c r="B13" s="43"/>
      <c r="C13" s="43"/>
      <c r="D13" s="68" t="s">
        <v>1029</v>
      </c>
      <c r="E13" s="44" t="e">
        <f>SUM(F13:H13)</f>
        <v>#REF!</v>
      </c>
      <c r="F13" s="47">
        <f>TB!G12</f>
        <v>0</v>
      </c>
      <c r="G13" s="55" t="e">
        <f>[1]Sheet1!K13</f>
        <v>#REF!</v>
      </c>
      <c r="H13" s="16" t="e">
        <f>[1]Sheet1!M13</f>
        <v>#REF!</v>
      </c>
    </row>
    <row r="14" spans="1:8" s="17" customFormat="1" ht="15.75" hidden="1" customHeight="1">
      <c r="A14" s="43"/>
      <c r="B14" s="43"/>
      <c r="C14" s="43"/>
      <c r="D14" s="68" t="s">
        <v>1030</v>
      </c>
      <c r="E14" s="44">
        <f>SUM(F14:H14)</f>
        <v>0</v>
      </c>
      <c r="F14" s="47">
        <f>TB!G13</f>
        <v>0</v>
      </c>
      <c r="G14" s="55"/>
      <c r="H14" s="16"/>
    </row>
    <row r="15" spans="1:8" s="17" customFormat="1" ht="15.75" hidden="1" customHeight="1">
      <c r="A15" s="43"/>
      <c r="B15" s="43"/>
      <c r="C15" s="43"/>
      <c r="D15" s="68" t="s">
        <v>1245</v>
      </c>
      <c r="E15" s="44" t="e">
        <f>SUM(F15:H15)</f>
        <v>#REF!</v>
      </c>
      <c r="F15" s="47">
        <f>TB!G14</f>
        <v>0</v>
      </c>
      <c r="G15" s="55" t="e">
        <f>[1]Sheet1!K15</f>
        <v>#REF!</v>
      </c>
      <c r="H15" s="16" t="e">
        <f>[1]Sheet1!M15</f>
        <v>#REF!</v>
      </c>
    </row>
    <row r="16" spans="1:8" s="17" customFormat="1" ht="15.75" customHeight="1">
      <c r="A16" s="43"/>
      <c r="B16" s="43"/>
      <c r="C16" s="43"/>
      <c r="D16" s="68" t="s">
        <v>1036</v>
      </c>
      <c r="E16" s="44" t="e">
        <f>SUM(F16:H16)</f>
        <v>#REF!</v>
      </c>
      <c r="F16" s="47">
        <f>TB!G16</f>
        <v>-0.80000000004656613</v>
      </c>
      <c r="G16" s="55" t="e">
        <f>[1]Sheet1!K16</f>
        <v>#REF!</v>
      </c>
      <c r="H16" s="16" t="e">
        <f>[1]Sheet1!M16</f>
        <v>#REF!</v>
      </c>
    </row>
    <row r="17" spans="1:8" s="14" customFormat="1" ht="15.75" customHeight="1">
      <c r="A17" s="65"/>
      <c r="B17" s="65"/>
      <c r="C17" s="65" t="s">
        <v>1246</v>
      </c>
      <c r="D17" s="65"/>
      <c r="E17" s="67" t="e">
        <f>SUM(E18:E21)</f>
        <v>#REF!</v>
      </c>
      <c r="F17" s="74">
        <f>SUM(F18:F21)</f>
        <v>14332535.340000002</v>
      </c>
      <c r="G17" s="54" t="e">
        <f>SUM(G18:G21)</f>
        <v>#REF!</v>
      </c>
      <c r="H17" s="15" t="e">
        <f>SUM(H18:H21)</f>
        <v>#REF!</v>
      </c>
    </row>
    <row r="18" spans="1:8" s="17" customFormat="1" ht="15.75" hidden="1" customHeight="1">
      <c r="A18" s="43"/>
      <c r="B18" s="43"/>
      <c r="C18" s="43"/>
      <c r="D18" s="68" t="s">
        <v>1921</v>
      </c>
      <c r="E18" s="44" t="e">
        <f>SUM(F18:H18)</f>
        <v>#REF!</v>
      </c>
      <c r="F18" s="47">
        <f>TB!G17</f>
        <v>0</v>
      </c>
      <c r="G18" s="55" t="e">
        <f>[1]Sheet1!K17</f>
        <v>#REF!</v>
      </c>
      <c r="H18" s="16" t="e">
        <f>[1]Sheet1!M17</f>
        <v>#REF!</v>
      </c>
    </row>
    <row r="19" spans="1:8" s="17" customFormat="1" ht="15.75" customHeight="1">
      <c r="A19" s="43"/>
      <c r="B19" s="43"/>
      <c r="C19" s="43"/>
      <c r="D19" s="68" t="s">
        <v>1922</v>
      </c>
      <c r="E19" s="44" t="e">
        <f>SUM(F19:H19)</f>
        <v>#REF!</v>
      </c>
      <c r="F19" s="47">
        <f>TB!G18</f>
        <v>14332535.340000002</v>
      </c>
      <c r="G19" s="55" t="e">
        <f>[1]Sheet1!K18</f>
        <v>#REF!</v>
      </c>
      <c r="H19" s="16" t="e">
        <f>[1]Sheet1!M18</f>
        <v>#REF!</v>
      </c>
    </row>
    <row r="20" spans="1:8" s="17" customFormat="1" ht="15.75" customHeight="1">
      <c r="A20" s="43"/>
      <c r="B20" s="43"/>
      <c r="C20" s="43"/>
      <c r="D20" s="68" t="s">
        <v>472</v>
      </c>
      <c r="E20" s="44" t="e">
        <f>SUM(F20:H20)</f>
        <v>#REF!</v>
      </c>
      <c r="F20" s="47">
        <f>TB!G19</f>
        <v>0</v>
      </c>
      <c r="G20" s="55" t="e">
        <f>[1]Sheet1!K19</f>
        <v>#REF!</v>
      </c>
      <c r="H20" s="16" t="e">
        <f>[1]Sheet1!M19</f>
        <v>#REF!</v>
      </c>
    </row>
    <row r="21" spans="1:8" s="17" customFormat="1" ht="15.75" hidden="1" customHeight="1">
      <c r="A21" s="43"/>
      <c r="B21" s="43"/>
      <c r="C21" s="43"/>
      <c r="D21" s="68" t="s">
        <v>1086</v>
      </c>
      <c r="E21" s="44" t="e">
        <f>SUM(F21:H21)</f>
        <v>#REF!</v>
      </c>
      <c r="F21" s="47">
        <f>TB!G20</f>
        <v>0</v>
      </c>
      <c r="G21" s="55" t="e">
        <f>[1]Sheet1!K20</f>
        <v>#REF!</v>
      </c>
      <c r="H21" s="16" t="e">
        <f>[1]Sheet1!M20</f>
        <v>#REF!</v>
      </c>
    </row>
    <row r="22" spans="1:8" s="14" customFormat="1" ht="15.75" hidden="1" customHeight="1">
      <c r="A22" s="65"/>
      <c r="B22" s="65"/>
      <c r="C22" s="65" t="s">
        <v>473</v>
      </c>
      <c r="D22" s="65"/>
      <c r="E22" s="67" t="e">
        <f>SUM(E23:E26)</f>
        <v>#REF!</v>
      </c>
      <c r="F22" s="74">
        <f>SUM(F23:F26)</f>
        <v>0</v>
      </c>
      <c r="G22" s="54" t="e">
        <f>SUM(G23:G26)</f>
        <v>#REF!</v>
      </c>
      <c r="H22" s="15" t="e">
        <f>SUM(H23:H26)</f>
        <v>#REF!</v>
      </c>
    </row>
    <row r="23" spans="1:8" s="17" customFormat="1" ht="15.75" hidden="1" customHeight="1">
      <c r="A23" s="43"/>
      <c r="B23" s="43"/>
      <c r="C23" s="43"/>
      <c r="D23" s="68" t="s">
        <v>1921</v>
      </c>
      <c r="E23" s="44" t="e">
        <f>SUM(F23:H23)</f>
        <v>#REF!</v>
      </c>
      <c r="F23" s="47">
        <f>TB!G21</f>
        <v>0</v>
      </c>
      <c r="G23" s="55" t="e">
        <f>[1]Sheet1!K21</f>
        <v>#REF!</v>
      </c>
      <c r="H23" s="16" t="e">
        <f>[1]Sheet1!M21</f>
        <v>#REF!</v>
      </c>
    </row>
    <row r="24" spans="1:8" s="17" customFormat="1" ht="15.75" hidden="1" customHeight="1">
      <c r="A24" s="43"/>
      <c r="B24" s="43"/>
      <c r="C24" s="43"/>
      <c r="D24" s="68" t="s">
        <v>1087</v>
      </c>
      <c r="E24" s="44" t="e">
        <f>SUM(F24:H24)</f>
        <v>#REF!</v>
      </c>
      <c r="F24" s="47">
        <f>TB!G22</f>
        <v>0</v>
      </c>
      <c r="G24" s="55" t="e">
        <f>[1]Sheet1!K22</f>
        <v>#REF!</v>
      </c>
      <c r="H24" s="16" t="e">
        <f>[1]Sheet1!M22</f>
        <v>#REF!</v>
      </c>
    </row>
    <row r="25" spans="1:8" s="17" customFormat="1" ht="15.75" hidden="1" customHeight="1">
      <c r="A25" s="43"/>
      <c r="B25" s="43"/>
      <c r="C25" s="43"/>
      <c r="D25" s="68" t="s">
        <v>1088</v>
      </c>
      <c r="E25" s="44" t="e">
        <f>SUM(F25:H25)</f>
        <v>#REF!</v>
      </c>
      <c r="F25" s="47">
        <f>TB!G23</f>
        <v>0</v>
      </c>
      <c r="G25" s="55" t="e">
        <f>[1]Sheet1!K23</f>
        <v>#REF!</v>
      </c>
      <c r="H25" s="16" t="e">
        <f>[1]Sheet1!M23</f>
        <v>#REF!</v>
      </c>
    </row>
    <row r="26" spans="1:8" s="17" customFormat="1" ht="15.75" hidden="1" customHeight="1">
      <c r="A26" s="43"/>
      <c r="B26" s="43"/>
      <c r="C26" s="43"/>
      <c r="D26" s="68" t="s">
        <v>1090</v>
      </c>
      <c r="E26" s="44" t="e">
        <f>SUM(F26:H26)</f>
        <v>#REF!</v>
      </c>
      <c r="F26" s="47">
        <f>TB!G24</f>
        <v>0</v>
      </c>
      <c r="G26" s="55" t="e">
        <f>[1]Sheet1!K24</f>
        <v>#REF!</v>
      </c>
      <c r="H26" s="16" t="e">
        <f>[1]Sheet1!M24</f>
        <v>#REF!</v>
      </c>
    </row>
    <row r="27" spans="1:8" s="14" customFormat="1" ht="15.75" customHeight="1">
      <c r="A27" s="65"/>
      <c r="B27" s="65" t="s">
        <v>474</v>
      </c>
      <c r="C27" s="65"/>
      <c r="D27" s="69"/>
      <c r="E27" s="67" t="e">
        <f>+E28+E39+E44+E46</f>
        <v>#REF!</v>
      </c>
      <c r="F27" s="74">
        <f>+F28+F39+F44+F46</f>
        <v>-90015.399999999907</v>
      </c>
      <c r="G27" s="54" t="e">
        <f>+G28+G39+G44+G46</f>
        <v>#REF!</v>
      </c>
      <c r="H27" s="15" t="e">
        <f>+H28+H39+H44+H46</f>
        <v>#REF!</v>
      </c>
    </row>
    <row r="28" spans="1:8" s="14" customFormat="1" ht="15.75" customHeight="1">
      <c r="A28" s="65"/>
      <c r="B28" s="65"/>
      <c r="C28" s="65" t="s">
        <v>475</v>
      </c>
      <c r="D28" s="69"/>
      <c r="E28" s="67" t="e">
        <f>SUM(E31:E38)+E29-E30</f>
        <v>#REF!</v>
      </c>
      <c r="F28" s="74">
        <f>SUM(F31:F38)+F29-F30</f>
        <v>189984.60000000009</v>
      </c>
      <c r="G28" s="54" t="e">
        <f>SUM(G31:G38)+G29-G30</f>
        <v>#REF!</v>
      </c>
      <c r="H28" s="15" t="e">
        <f>SUM(H31:H38)+H29-H30</f>
        <v>#REF!</v>
      </c>
    </row>
    <row r="29" spans="1:8" s="17" customFormat="1" ht="15.75" hidden="1" customHeight="1">
      <c r="A29" s="43"/>
      <c r="B29" s="43"/>
      <c r="C29" s="43"/>
      <c r="D29" s="68" t="s">
        <v>1092</v>
      </c>
      <c r="E29" s="44" t="e">
        <f t="shared" ref="E29:E38" si="0">SUM(F29:H29)</f>
        <v>#REF!</v>
      </c>
      <c r="F29" s="47">
        <f>TB!G25</f>
        <v>0</v>
      </c>
      <c r="G29" s="55" t="e">
        <f>[1]Sheet1!K25</f>
        <v>#REF!</v>
      </c>
      <c r="H29" s="16" t="e">
        <f>[1]Sheet1!M25</f>
        <v>#REF!</v>
      </c>
    </row>
    <row r="30" spans="1:8" s="10" customFormat="1" ht="15.75" hidden="1" customHeight="1">
      <c r="A30" s="70"/>
      <c r="B30" s="70"/>
      <c r="C30" s="70"/>
      <c r="D30" s="71" t="s">
        <v>1094</v>
      </c>
      <c r="E30" s="47" t="e">
        <f t="shared" si="0"/>
        <v>#REF!</v>
      </c>
      <c r="F30" s="47">
        <f>TB!G26</f>
        <v>0</v>
      </c>
      <c r="G30" s="56" t="e">
        <f>[1]Sheet1!L26</f>
        <v>#REF!</v>
      </c>
      <c r="H30" s="9" t="e">
        <f>[1]Sheet1!N26</f>
        <v>#REF!</v>
      </c>
    </row>
    <row r="31" spans="1:8" s="17" customFormat="1" ht="15.75" hidden="1" customHeight="1">
      <c r="A31" s="43"/>
      <c r="B31" s="43"/>
      <c r="C31" s="43"/>
      <c r="D31" s="68" t="s">
        <v>1096</v>
      </c>
      <c r="E31" s="44" t="e">
        <f t="shared" si="0"/>
        <v>#REF!</v>
      </c>
      <c r="F31" s="47">
        <f>TB!G27</f>
        <v>0</v>
      </c>
      <c r="G31" s="55" t="e">
        <f>[1]Sheet1!K27</f>
        <v>#REF!</v>
      </c>
      <c r="H31" s="16" t="e">
        <f>[1]Sheet1!M27</f>
        <v>#REF!</v>
      </c>
    </row>
    <row r="32" spans="1:8" s="17" customFormat="1" ht="15.75" customHeight="1">
      <c r="A32" s="43"/>
      <c r="B32" s="43"/>
      <c r="C32" s="43"/>
      <c r="D32" s="68" t="s">
        <v>476</v>
      </c>
      <c r="E32" s="44" t="e">
        <f t="shared" si="0"/>
        <v>#REF!</v>
      </c>
      <c r="F32" s="47">
        <f>TB!G41</f>
        <v>189984.60000000009</v>
      </c>
      <c r="G32" s="55" t="e">
        <f>[1]Sheet1!K28</f>
        <v>#REF!</v>
      </c>
      <c r="H32" s="16" t="e">
        <f>[1]Sheet1!M28</f>
        <v>#REF!</v>
      </c>
    </row>
    <row r="33" spans="1:8" s="17" customFormat="1" ht="15.75" hidden="1" customHeight="1">
      <c r="A33" s="43"/>
      <c r="B33" s="43"/>
      <c r="C33" s="43"/>
      <c r="D33" s="68" t="s">
        <v>406</v>
      </c>
      <c r="E33" s="44" t="e">
        <f t="shared" si="0"/>
        <v>#REF!</v>
      </c>
      <c r="F33" s="47">
        <f>TB!G29</f>
        <v>0</v>
      </c>
      <c r="G33" s="55" t="e">
        <f>[1]Sheet1!K29</f>
        <v>#REF!</v>
      </c>
      <c r="H33" s="16" t="e">
        <f>[1]Sheet1!M29</f>
        <v>#REF!</v>
      </c>
    </row>
    <row r="34" spans="1:8" s="17" customFormat="1" ht="15.75" hidden="1" customHeight="1">
      <c r="A34" s="43"/>
      <c r="B34" s="43"/>
      <c r="C34" s="43"/>
      <c r="D34" s="68" t="s">
        <v>408</v>
      </c>
      <c r="E34" s="44" t="e">
        <f t="shared" si="0"/>
        <v>#REF!</v>
      </c>
      <c r="F34" s="47">
        <f>TB!G30</f>
        <v>0</v>
      </c>
      <c r="G34" s="55" t="e">
        <f>[1]Sheet1!K30</f>
        <v>#REF!</v>
      </c>
      <c r="H34" s="16" t="e">
        <f>[1]Sheet1!M30</f>
        <v>#REF!</v>
      </c>
    </row>
    <row r="35" spans="1:8" s="17" customFormat="1" ht="15.75" hidden="1" customHeight="1">
      <c r="A35" s="43"/>
      <c r="B35" s="43"/>
      <c r="C35" s="43"/>
      <c r="D35" s="68" t="s">
        <v>410</v>
      </c>
      <c r="E35" s="44" t="e">
        <f t="shared" si="0"/>
        <v>#REF!</v>
      </c>
      <c r="F35" s="47">
        <f>TB!G31</f>
        <v>0</v>
      </c>
      <c r="G35" s="55" t="e">
        <f>[1]Sheet1!K31</f>
        <v>#REF!</v>
      </c>
      <c r="H35" s="16" t="e">
        <f>[1]Sheet1!M31</f>
        <v>#REF!</v>
      </c>
    </row>
    <row r="36" spans="1:8" s="17" customFormat="1" ht="15.75" hidden="1" customHeight="1">
      <c r="A36" s="43"/>
      <c r="B36" s="43"/>
      <c r="C36" s="43"/>
      <c r="D36" s="68" t="s">
        <v>1891</v>
      </c>
      <c r="E36" s="44" t="e">
        <f t="shared" si="0"/>
        <v>#REF!</v>
      </c>
      <c r="F36" s="47">
        <f>TB!G32</f>
        <v>0</v>
      </c>
      <c r="G36" s="55" t="e">
        <f>[1]Sheet1!K32</f>
        <v>#REF!</v>
      </c>
      <c r="H36" s="16" t="e">
        <f>[1]Sheet1!M32</f>
        <v>#REF!</v>
      </c>
    </row>
    <row r="37" spans="1:8" s="17" customFormat="1" ht="15.75" hidden="1" customHeight="1">
      <c r="A37" s="43"/>
      <c r="B37" s="43"/>
      <c r="C37" s="43"/>
      <c r="D37" s="68" t="s">
        <v>1893</v>
      </c>
      <c r="E37" s="44" t="e">
        <f t="shared" si="0"/>
        <v>#REF!</v>
      </c>
      <c r="F37" s="47">
        <f>TB!G33</f>
        <v>0</v>
      </c>
      <c r="G37" s="55" t="e">
        <f>[1]Sheet1!K33</f>
        <v>#REF!</v>
      </c>
      <c r="H37" s="16" t="e">
        <f>[1]Sheet1!M33</f>
        <v>#REF!</v>
      </c>
    </row>
    <row r="38" spans="1:8" s="17" customFormat="1" ht="15.75" hidden="1" customHeight="1">
      <c r="A38" s="43"/>
      <c r="B38" s="43"/>
      <c r="C38" s="43"/>
      <c r="D38" s="68" t="s">
        <v>1103</v>
      </c>
      <c r="E38" s="44" t="e">
        <f t="shared" si="0"/>
        <v>#REF!</v>
      </c>
      <c r="F38" s="47">
        <f>TB!G34</f>
        <v>0</v>
      </c>
      <c r="G38" s="55" t="e">
        <f>[1]Sheet1!K34</f>
        <v>#REF!</v>
      </c>
      <c r="H38" s="16" t="e">
        <f>[1]Sheet1!M34</f>
        <v>#REF!</v>
      </c>
    </row>
    <row r="39" spans="1:8" s="14" customFormat="1" ht="15.75" customHeight="1">
      <c r="A39" s="65"/>
      <c r="B39" s="65"/>
      <c r="C39" s="65" t="s">
        <v>477</v>
      </c>
      <c r="D39" s="69"/>
      <c r="E39" s="67" t="e">
        <f>SUM(E40:E43)</f>
        <v>#REF!</v>
      </c>
      <c r="F39" s="74">
        <f>SUM(F40:F43)</f>
        <v>-280000</v>
      </c>
      <c r="G39" s="54" t="e">
        <f>SUM(G40:G43)</f>
        <v>#REF!</v>
      </c>
      <c r="H39" s="15" t="e">
        <f>SUM(H40:H43)</f>
        <v>#REF!</v>
      </c>
    </row>
    <row r="40" spans="1:8" s="17" customFormat="1" ht="15.75" hidden="1" customHeight="1">
      <c r="A40" s="43"/>
      <c r="B40" s="43"/>
      <c r="C40" s="43"/>
      <c r="D40" s="68" t="s">
        <v>1105</v>
      </c>
      <c r="E40" s="44" t="e">
        <f>SUM(F40:H40)</f>
        <v>#REF!</v>
      </c>
      <c r="F40" s="47">
        <f>TB!G35</f>
        <v>0</v>
      </c>
      <c r="G40" s="55" t="e">
        <f>[1]Sheet1!K35</f>
        <v>#REF!</v>
      </c>
      <c r="H40" s="16" t="e">
        <f>[1]Sheet1!M35</f>
        <v>#REF!</v>
      </c>
    </row>
    <row r="41" spans="1:8" s="17" customFormat="1" ht="15.75" hidden="1" customHeight="1">
      <c r="A41" s="43"/>
      <c r="B41" s="43"/>
      <c r="C41" s="43"/>
      <c r="D41" s="68" t="s">
        <v>1107</v>
      </c>
      <c r="E41" s="44" t="e">
        <f>SUM(F41:H41)</f>
        <v>#REF!</v>
      </c>
      <c r="F41" s="47">
        <f>TB!G36</f>
        <v>0</v>
      </c>
      <c r="G41" s="55" t="e">
        <f>[1]Sheet1!K36</f>
        <v>#REF!</v>
      </c>
      <c r="H41" s="16" t="e">
        <f>[1]Sheet1!M36</f>
        <v>#REF!</v>
      </c>
    </row>
    <row r="42" spans="1:8" s="17" customFormat="1" ht="15.75" customHeight="1">
      <c r="A42" s="43"/>
      <c r="B42" s="43"/>
      <c r="C42" s="43"/>
      <c r="D42" s="68" t="s">
        <v>1109</v>
      </c>
      <c r="E42" s="44" t="e">
        <f>SUM(F42:H42)</f>
        <v>#REF!</v>
      </c>
      <c r="F42" s="47">
        <f>TB!G37</f>
        <v>0</v>
      </c>
      <c r="G42" s="55" t="e">
        <f>[1]Sheet1!K37</f>
        <v>#REF!</v>
      </c>
      <c r="H42" s="16" t="e">
        <f>[1]Sheet1!M37</f>
        <v>#REF!</v>
      </c>
    </row>
    <row r="43" spans="1:8" s="17" customFormat="1" ht="15.75" customHeight="1">
      <c r="A43" s="43"/>
      <c r="B43" s="43"/>
      <c r="C43" s="43"/>
      <c r="D43" s="68" t="s">
        <v>1110</v>
      </c>
      <c r="E43" s="44" t="e">
        <f>SUM(F43:H43)</f>
        <v>#REF!</v>
      </c>
      <c r="F43" s="47">
        <f>TB!G38</f>
        <v>-280000</v>
      </c>
      <c r="G43" s="55" t="e">
        <f>[1]Sheet1!K38</f>
        <v>#REF!</v>
      </c>
      <c r="H43" s="16" t="e">
        <f>[1]Sheet1!M38</f>
        <v>#REF!</v>
      </c>
    </row>
    <row r="44" spans="1:8" s="14" customFormat="1" ht="15.75" hidden="1" customHeight="1">
      <c r="A44" s="65"/>
      <c r="B44" s="65"/>
      <c r="C44" s="65" t="s">
        <v>478</v>
      </c>
      <c r="D44" s="69"/>
      <c r="E44" s="67" t="e">
        <f>+E45</f>
        <v>#REF!</v>
      </c>
      <c r="F44" s="74">
        <f>+F45</f>
        <v>0</v>
      </c>
      <c r="G44" s="54" t="e">
        <f>+G45</f>
        <v>#REF!</v>
      </c>
      <c r="H44" s="15" t="e">
        <f>+H45</f>
        <v>#REF!</v>
      </c>
    </row>
    <row r="45" spans="1:8" s="17" customFormat="1" ht="15.75" hidden="1" customHeight="1">
      <c r="A45" s="43"/>
      <c r="B45" s="43"/>
      <c r="C45" s="43"/>
      <c r="D45" s="68" t="s">
        <v>1112</v>
      </c>
      <c r="E45" s="44" t="e">
        <f>SUM(F45:H45)</f>
        <v>#REF!</v>
      </c>
      <c r="F45" s="47">
        <f>TB!G39</f>
        <v>0</v>
      </c>
      <c r="G45" s="55" t="e">
        <f>[1]Sheet1!K39</f>
        <v>#REF!</v>
      </c>
      <c r="H45" s="16" t="e">
        <f>[1]Sheet1!M39</f>
        <v>#REF!</v>
      </c>
    </row>
    <row r="46" spans="1:8" s="14" customFormat="1" ht="15.75" customHeight="1">
      <c r="A46" s="65"/>
      <c r="B46" s="65"/>
      <c r="C46" s="65" t="s">
        <v>479</v>
      </c>
      <c r="D46" s="69"/>
      <c r="E46" s="67" t="e">
        <f>SUM(E47:E48)</f>
        <v>#REF!</v>
      </c>
      <c r="F46" s="74">
        <f>SUM(F47:F48)</f>
        <v>0</v>
      </c>
      <c r="G46" s="54" t="e">
        <f>SUM(G47:G48)</f>
        <v>#REF!</v>
      </c>
      <c r="H46" s="15" t="e">
        <f>SUM(H47:H48)</f>
        <v>#REF!</v>
      </c>
    </row>
    <row r="47" spans="1:8" s="17" customFormat="1" ht="15.75" hidden="1" customHeight="1">
      <c r="A47" s="43"/>
      <c r="B47" s="43"/>
      <c r="C47" s="43"/>
      <c r="D47" s="68" t="s">
        <v>1113</v>
      </c>
      <c r="E47" s="44" t="e">
        <f>SUM(F47:H47)</f>
        <v>#REF!</v>
      </c>
      <c r="F47" s="47">
        <f>TB!G40</f>
        <v>0</v>
      </c>
      <c r="G47" s="55" t="e">
        <f>[1]Sheet1!K40</f>
        <v>#REF!</v>
      </c>
      <c r="H47" s="16" t="e">
        <f>[1]Sheet1!M40</f>
        <v>#REF!</v>
      </c>
    </row>
    <row r="48" spans="1:8" s="17" customFormat="1" ht="15.75" customHeight="1">
      <c r="A48" s="43"/>
      <c r="B48" s="43"/>
      <c r="C48" s="43"/>
      <c r="D48" s="68" t="s">
        <v>1117</v>
      </c>
      <c r="E48" s="44" t="e">
        <f>SUM(F48:H48)</f>
        <v>#REF!</v>
      </c>
      <c r="F48" s="47">
        <f>TB!G42</f>
        <v>0</v>
      </c>
      <c r="G48" s="55" t="e">
        <f>[1]Sheet1!K41</f>
        <v>#REF!</v>
      </c>
      <c r="H48" s="16" t="e">
        <f>[1]Sheet1!M41</f>
        <v>#REF!</v>
      </c>
    </row>
    <row r="49" spans="1:8" s="14" customFormat="1" ht="15.75" hidden="1" customHeight="1">
      <c r="A49" s="65"/>
      <c r="B49" s="65" t="s">
        <v>480</v>
      </c>
      <c r="C49" s="65"/>
      <c r="D49" s="69"/>
      <c r="E49" s="67" t="e">
        <f>+E50+E55+E70</f>
        <v>#REF!</v>
      </c>
      <c r="F49" s="74">
        <f>+F50+F55+F70</f>
        <v>2317392</v>
      </c>
      <c r="G49" s="54" t="e">
        <f>+G50+G55+G70</f>
        <v>#REF!</v>
      </c>
      <c r="H49" s="15" t="e">
        <f>+H50+H55+H70</f>
        <v>#REF!</v>
      </c>
    </row>
    <row r="50" spans="1:8" s="14" customFormat="1" ht="15.75" hidden="1" customHeight="1">
      <c r="A50" s="65"/>
      <c r="B50" s="65"/>
      <c r="C50" s="65" t="s">
        <v>481</v>
      </c>
      <c r="D50" s="69"/>
      <c r="E50" s="67" t="e">
        <f>SUM(E51:E54)</f>
        <v>#REF!</v>
      </c>
      <c r="F50" s="74">
        <f>SUM(F51:F54)</f>
        <v>0</v>
      </c>
      <c r="G50" s="54" t="e">
        <f>SUM(G51:G54)</f>
        <v>#REF!</v>
      </c>
      <c r="H50" s="15" t="e">
        <f>SUM(H51:H54)</f>
        <v>#REF!</v>
      </c>
    </row>
    <row r="51" spans="1:8" s="17" customFormat="1" ht="15.75" hidden="1" customHeight="1">
      <c r="A51" s="43"/>
      <c r="B51" s="43"/>
      <c r="C51" s="43"/>
      <c r="D51" s="68" t="s">
        <v>1765</v>
      </c>
      <c r="E51" s="44" t="e">
        <f>SUM(F51:H51)</f>
        <v>#REF!</v>
      </c>
      <c r="F51" s="47">
        <f>TB!G43</f>
        <v>0</v>
      </c>
      <c r="G51" s="55" t="e">
        <f>[1]Sheet1!K42</f>
        <v>#REF!</v>
      </c>
      <c r="H51" s="16" t="e">
        <f>[1]Sheet1!M42</f>
        <v>#REF!</v>
      </c>
    </row>
    <row r="52" spans="1:8" s="17" customFormat="1" ht="15.75" hidden="1" customHeight="1">
      <c r="A52" s="43"/>
      <c r="B52" s="43"/>
      <c r="C52" s="43"/>
      <c r="D52" s="68" t="s">
        <v>1767</v>
      </c>
      <c r="E52" s="44" t="e">
        <f>SUM(F52:H52)</f>
        <v>#REF!</v>
      </c>
      <c r="F52" s="47">
        <f>TB!G44</f>
        <v>0</v>
      </c>
      <c r="G52" s="55" t="e">
        <f>[1]Sheet1!K43</f>
        <v>#REF!</v>
      </c>
      <c r="H52" s="16" t="e">
        <f>[1]Sheet1!M43</f>
        <v>#REF!</v>
      </c>
    </row>
    <row r="53" spans="1:8" s="17" customFormat="1" ht="15.75" hidden="1" customHeight="1">
      <c r="A53" s="43"/>
      <c r="B53" s="43"/>
      <c r="C53" s="43"/>
      <c r="D53" s="68" t="s">
        <v>1769</v>
      </c>
      <c r="E53" s="44" t="e">
        <f>SUM(F53:H53)</f>
        <v>#REF!</v>
      </c>
      <c r="F53" s="47">
        <f>TB!G45</f>
        <v>0</v>
      </c>
      <c r="G53" s="55" t="e">
        <f>[1]Sheet1!K44</f>
        <v>#REF!</v>
      </c>
      <c r="H53" s="16" t="e">
        <f>[1]Sheet1!M44</f>
        <v>#REF!</v>
      </c>
    </row>
    <row r="54" spans="1:8" s="17" customFormat="1" ht="15.75" hidden="1" customHeight="1">
      <c r="A54" s="43"/>
      <c r="B54" s="43"/>
      <c r="C54" s="43"/>
      <c r="D54" s="68" t="s">
        <v>1771</v>
      </c>
      <c r="E54" s="44" t="e">
        <f>SUM(F54:H54)</f>
        <v>#REF!</v>
      </c>
      <c r="F54" s="47">
        <f>TB!G46</f>
        <v>0</v>
      </c>
      <c r="G54" s="55" t="e">
        <f>[1]Sheet1!K45</f>
        <v>#REF!</v>
      </c>
      <c r="H54" s="16" t="e">
        <f>[1]Sheet1!M45</f>
        <v>#REF!</v>
      </c>
    </row>
    <row r="55" spans="1:8" s="14" customFormat="1" ht="15.75" hidden="1" customHeight="1">
      <c r="A55" s="65"/>
      <c r="B55" s="65"/>
      <c r="C55" s="65" t="s">
        <v>482</v>
      </c>
      <c r="D55" s="69"/>
      <c r="E55" s="67" t="e">
        <f>SUM(E56:E69)</f>
        <v>#REF!</v>
      </c>
      <c r="F55" s="74">
        <f>SUM(F56:F69)</f>
        <v>2317392</v>
      </c>
      <c r="G55" s="54" t="e">
        <f>SUM(G56:G69)</f>
        <v>#REF!</v>
      </c>
      <c r="H55" s="15" t="e">
        <f>SUM(H56:H69)</f>
        <v>#REF!</v>
      </c>
    </row>
    <row r="56" spans="1:8" s="17" customFormat="1" ht="15.75" hidden="1" customHeight="1">
      <c r="A56" s="43"/>
      <c r="B56" s="43"/>
      <c r="C56" s="43"/>
      <c r="D56" s="68" t="s">
        <v>1773</v>
      </c>
      <c r="E56" s="44" t="e">
        <f t="shared" ref="E56:E69" si="1">SUM(F56:H56)</f>
        <v>#REF!</v>
      </c>
      <c r="F56" s="47">
        <f>TB!G47</f>
        <v>0</v>
      </c>
      <c r="G56" s="55" t="e">
        <f>[1]Sheet1!K46</f>
        <v>#REF!</v>
      </c>
      <c r="H56" s="16" t="e">
        <f>[1]Sheet1!M46</f>
        <v>#REF!</v>
      </c>
    </row>
    <row r="57" spans="1:8" s="17" customFormat="1" ht="15.75" hidden="1" customHeight="1">
      <c r="A57" s="43"/>
      <c r="B57" s="43"/>
      <c r="C57" s="43"/>
      <c r="D57" s="68" t="s">
        <v>1775</v>
      </c>
      <c r="E57" s="44" t="e">
        <f t="shared" si="1"/>
        <v>#REF!</v>
      </c>
      <c r="F57" s="47">
        <f>TB!G48</f>
        <v>0</v>
      </c>
      <c r="G57" s="55" t="e">
        <f>[1]Sheet1!K47</f>
        <v>#REF!</v>
      </c>
      <c r="H57" s="16" t="e">
        <f>[1]Sheet1!M47</f>
        <v>#REF!</v>
      </c>
    </row>
    <row r="58" spans="1:8" s="17" customFormat="1" ht="15.75" hidden="1" customHeight="1">
      <c r="A58" s="43"/>
      <c r="B58" s="43"/>
      <c r="C58" s="43"/>
      <c r="D58" s="68" t="s">
        <v>1777</v>
      </c>
      <c r="E58" s="44" t="e">
        <f t="shared" si="1"/>
        <v>#REF!</v>
      </c>
      <c r="F58" s="47">
        <f>TB!G49</f>
        <v>0</v>
      </c>
      <c r="G58" s="55" t="e">
        <f>[1]Sheet1!K48</f>
        <v>#REF!</v>
      </c>
      <c r="H58" s="16" t="e">
        <f>[1]Sheet1!M48</f>
        <v>#REF!</v>
      </c>
    </row>
    <row r="59" spans="1:8" s="17" customFormat="1" ht="15.75" hidden="1" customHeight="1">
      <c r="A59" s="43"/>
      <c r="B59" s="43"/>
      <c r="C59" s="43"/>
      <c r="D59" s="68" t="s">
        <v>1779</v>
      </c>
      <c r="E59" s="44" t="e">
        <f t="shared" si="1"/>
        <v>#REF!</v>
      </c>
      <c r="F59" s="47">
        <f>TB!G50</f>
        <v>0</v>
      </c>
      <c r="G59" s="55" t="e">
        <f>[1]Sheet1!K49</f>
        <v>#REF!</v>
      </c>
      <c r="H59" s="16" t="e">
        <f>[1]Sheet1!M49</f>
        <v>#REF!</v>
      </c>
    </row>
    <row r="60" spans="1:8" s="17" customFormat="1" ht="15.75" hidden="1" customHeight="1">
      <c r="A60" s="43"/>
      <c r="B60" s="43"/>
      <c r="C60" s="43"/>
      <c r="D60" s="68" t="s">
        <v>1781</v>
      </c>
      <c r="E60" s="44" t="e">
        <f t="shared" si="1"/>
        <v>#REF!</v>
      </c>
      <c r="F60" s="47">
        <f>TB!G51</f>
        <v>518992</v>
      </c>
      <c r="G60" s="55" t="e">
        <f>[1]Sheet1!K50</f>
        <v>#REF!</v>
      </c>
      <c r="H60" s="16" t="e">
        <f>[1]Sheet1!M50</f>
        <v>#REF!</v>
      </c>
    </row>
    <row r="61" spans="1:8" s="17" customFormat="1" ht="15.75" hidden="1" customHeight="1">
      <c r="A61" s="43"/>
      <c r="B61" s="43"/>
      <c r="C61" s="43"/>
      <c r="D61" s="68" t="s">
        <v>273</v>
      </c>
      <c r="E61" s="44" t="e">
        <f t="shared" si="1"/>
        <v>#REF!</v>
      </c>
      <c r="F61" s="47">
        <f>TB!G52</f>
        <v>0</v>
      </c>
      <c r="G61" s="55" t="e">
        <f>[1]Sheet1!K51</f>
        <v>#REF!</v>
      </c>
      <c r="H61" s="16" t="e">
        <f>[1]Sheet1!M51</f>
        <v>#REF!</v>
      </c>
    </row>
    <row r="62" spans="1:8" s="17" customFormat="1" ht="15.75" hidden="1" customHeight="1">
      <c r="A62" s="43"/>
      <c r="B62" s="43"/>
      <c r="C62" s="43"/>
      <c r="D62" s="68" t="s">
        <v>275</v>
      </c>
      <c r="E62" s="44" t="e">
        <f t="shared" si="1"/>
        <v>#REF!</v>
      </c>
      <c r="F62" s="47">
        <f>TB!G53</f>
        <v>1798400</v>
      </c>
      <c r="G62" s="55" t="e">
        <f>[1]Sheet1!K52</f>
        <v>#REF!</v>
      </c>
      <c r="H62" s="16" t="e">
        <f>[1]Sheet1!M52</f>
        <v>#REF!</v>
      </c>
    </row>
    <row r="63" spans="1:8" s="17" customFormat="1" ht="15.75" hidden="1" customHeight="1">
      <c r="A63" s="43"/>
      <c r="B63" s="43"/>
      <c r="C63" s="43"/>
      <c r="D63" s="68" t="s">
        <v>277</v>
      </c>
      <c r="E63" s="44" t="e">
        <f t="shared" si="1"/>
        <v>#REF!</v>
      </c>
      <c r="F63" s="47">
        <f>TB!G54</f>
        <v>0</v>
      </c>
      <c r="G63" s="55" t="e">
        <f>[1]Sheet1!K53</f>
        <v>#REF!</v>
      </c>
      <c r="H63" s="16" t="e">
        <f>[1]Sheet1!M53</f>
        <v>#REF!</v>
      </c>
    </row>
    <row r="64" spans="1:8" s="17" customFormat="1" ht="15.75" hidden="1" customHeight="1">
      <c r="A64" s="43"/>
      <c r="B64" s="43"/>
      <c r="C64" s="43"/>
      <c r="D64" s="68" t="s">
        <v>1003</v>
      </c>
      <c r="E64" s="44" t="e">
        <f t="shared" si="1"/>
        <v>#REF!</v>
      </c>
      <c r="F64" s="47">
        <f>TB!G55</f>
        <v>0</v>
      </c>
      <c r="G64" s="55" t="e">
        <f>[1]Sheet1!K54</f>
        <v>#REF!</v>
      </c>
      <c r="H64" s="16" t="e">
        <f>[1]Sheet1!M54</f>
        <v>#REF!</v>
      </c>
    </row>
    <row r="65" spans="1:8" s="17" customFormat="1" ht="15.75" hidden="1" customHeight="1">
      <c r="A65" s="43"/>
      <c r="B65" s="43"/>
      <c r="C65" s="43"/>
      <c r="D65" s="68" t="s">
        <v>1005</v>
      </c>
      <c r="E65" s="44" t="e">
        <f t="shared" si="1"/>
        <v>#REF!</v>
      </c>
      <c r="F65" s="47">
        <f>TB!G56</f>
        <v>0</v>
      </c>
      <c r="G65" s="55" t="e">
        <f>[1]Sheet1!K55</f>
        <v>#REF!</v>
      </c>
      <c r="H65" s="16" t="e">
        <f>[1]Sheet1!M55</f>
        <v>#REF!</v>
      </c>
    </row>
    <row r="66" spans="1:8" s="17" customFormat="1" ht="15.75" hidden="1" customHeight="1">
      <c r="A66" s="43"/>
      <c r="B66" s="43"/>
      <c r="C66" s="43"/>
      <c r="D66" s="68" t="s">
        <v>2443</v>
      </c>
      <c r="E66" s="44" t="e">
        <f t="shared" si="1"/>
        <v>#REF!</v>
      </c>
      <c r="F66" s="47">
        <f>TB!G57</f>
        <v>0</v>
      </c>
      <c r="G66" s="55" t="e">
        <f>[1]Sheet1!K56</f>
        <v>#REF!</v>
      </c>
      <c r="H66" s="16" t="e">
        <f>[1]Sheet1!M56</f>
        <v>#REF!</v>
      </c>
    </row>
    <row r="67" spans="1:8" s="17" customFormat="1" ht="15.75" hidden="1" customHeight="1">
      <c r="A67" s="43"/>
      <c r="B67" s="43"/>
      <c r="C67" s="43"/>
      <c r="D67" s="68" t="s">
        <v>2444</v>
      </c>
      <c r="E67" s="44" t="e">
        <f t="shared" si="1"/>
        <v>#REF!</v>
      </c>
      <c r="F67" s="47">
        <f>TB!G58</f>
        <v>0</v>
      </c>
      <c r="G67" s="55" t="e">
        <f>[1]Sheet1!K57</f>
        <v>#REF!</v>
      </c>
      <c r="H67" s="16" t="e">
        <f>[1]Sheet1!M57</f>
        <v>#REF!</v>
      </c>
    </row>
    <row r="68" spans="1:8" s="17" customFormat="1" ht="15.75" hidden="1" customHeight="1">
      <c r="A68" s="43"/>
      <c r="B68" s="43"/>
      <c r="C68" s="43"/>
      <c r="D68" s="68" t="s">
        <v>2445</v>
      </c>
      <c r="E68" s="44" t="e">
        <f t="shared" si="1"/>
        <v>#REF!</v>
      </c>
      <c r="F68" s="47">
        <f>TB!G59</f>
        <v>0</v>
      </c>
      <c r="G68" s="55" t="e">
        <f>[1]Sheet1!K58</f>
        <v>#REF!</v>
      </c>
      <c r="H68" s="16" t="e">
        <f>[1]Sheet1!M58</f>
        <v>#REF!</v>
      </c>
    </row>
    <row r="69" spans="1:8" s="17" customFormat="1" ht="15.75" hidden="1" customHeight="1">
      <c r="A69" s="43"/>
      <c r="B69" s="43"/>
      <c r="C69" s="43"/>
      <c r="D69" s="68" t="s">
        <v>2446</v>
      </c>
      <c r="E69" s="44" t="e">
        <f t="shared" si="1"/>
        <v>#REF!</v>
      </c>
      <c r="F69" s="47">
        <f>TB!G60</f>
        <v>0</v>
      </c>
      <c r="G69" s="55" t="e">
        <f>[1]Sheet1!K59</f>
        <v>#REF!</v>
      </c>
      <c r="H69" s="16" t="e">
        <f>[1]Sheet1!M59</f>
        <v>#REF!</v>
      </c>
    </row>
    <row r="70" spans="1:8" s="14" customFormat="1" ht="15.75" hidden="1" customHeight="1">
      <c r="A70" s="65"/>
      <c r="B70" s="65"/>
      <c r="C70" s="65" t="s">
        <v>483</v>
      </c>
      <c r="D70" s="69"/>
      <c r="E70" s="67" t="e">
        <f>SUM(E71:E73)</f>
        <v>#REF!</v>
      </c>
      <c r="F70" s="74">
        <f>SUM(F71:F73)</f>
        <v>0</v>
      </c>
      <c r="G70" s="54" t="e">
        <f>SUM(G71:G73)</f>
        <v>#REF!</v>
      </c>
      <c r="H70" s="15" t="e">
        <f>SUM(H71:H73)</f>
        <v>#REF!</v>
      </c>
    </row>
    <row r="71" spans="1:8" s="17" customFormat="1" ht="15.75" hidden="1" customHeight="1">
      <c r="A71" s="43"/>
      <c r="B71" s="43"/>
      <c r="C71" s="43"/>
      <c r="D71" s="68" t="s">
        <v>951</v>
      </c>
      <c r="E71" s="44" t="e">
        <f>SUM(F71:H71)</f>
        <v>#REF!</v>
      </c>
      <c r="F71" s="47">
        <f>TB!G61</f>
        <v>0</v>
      </c>
      <c r="G71" s="55" t="e">
        <f>[1]Sheet1!K60</f>
        <v>#REF!</v>
      </c>
      <c r="H71" s="16" t="e">
        <f>[1]Sheet1!M60</f>
        <v>#REF!</v>
      </c>
    </row>
    <row r="72" spans="1:8" s="17" customFormat="1" ht="15.75" hidden="1" customHeight="1">
      <c r="A72" s="43"/>
      <c r="B72" s="43"/>
      <c r="C72" s="43"/>
      <c r="D72" s="68" t="s">
        <v>953</v>
      </c>
      <c r="E72" s="44" t="e">
        <f>SUM(F72:H72)</f>
        <v>#REF!</v>
      </c>
      <c r="F72" s="47">
        <f>TB!G62</f>
        <v>0</v>
      </c>
      <c r="G72" s="55" t="e">
        <f>[1]Sheet1!K61</f>
        <v>#REF!</v>
      </c>
      <c r="H72" s="16" t="e">
        <f>[1]Sheet1!M61</f>
        <v>#REF!</v>
      </c>
    </row>
    <row r="73" spans="1:8" s="17" customFormat="1" ht="15.75" hidden="1" customHeight="1">
      <c r="A73" s="43"/>
      <c r="B73" s="43"/>
      <c r="C73" s="43"/>
      <c r="D73" s="68" t="s">
        <v>955</v>
      </c>
      <c r="E73" s="44" t="e">
        <f>SUM(F73:H73)</f>
        <v>#REF!</v>
      </c>
      <c r="F73" s="47">
        <f>TB!G63</f>
        <v>0</v>
      </c>
      <c r="G73" s="55" t="e">
        <f>[1]Sheet1!K62</f>
        <v>#REF!</v>
      </c>
      <c r="H73" s="16" t="e">
        <f>[1]Sheet1!M62</f>
        <v>#REF!</v>
      </c>
    </row>
    <row r="74" spans="1:8" s="14" customFormat="1" ht="15.75" hidden="1" customHeight="1">
      <c r="A74" s="65"/>
      <c r="B74" s="65" t="s">
        <v>484</v>
      </c>
      <c r="C74" s="65"/>
      <c r="D74" s="69"/>
      <c r="E74" s="67" t="e">
        <f>SUM(E75:E81)</f>
        <v>#REF!</v>
      </c>
      <c r="F74" s="74">
        <f>SUM(F75:F81)</f>
        <v>0</v>
      </c>
      <c r="G74" s="54" t="e">
        <f>SUM(G75:G81)</f>
        <v>#REF!</v>
      </c>
      <c r="H74" s="15" t="e">
        <f>SUM(H75:H81)</f>
        <v>#REF!</v>
      </c>
    </row>
    <row r="75" spans="1:8" s="17" customFormat="1" ht="15.75" hidden="1" customHeight="1">
      <c r="A75" s="43"/>
      <c r="B75" s="43"/>
      <c r="C75" s="68" t="s">
        <v>957</v>
      </c>
      <c r="D75" s="43"/>
      <c r="E75" s="44" t="e">
        <f t="shared" ref="E75:E81" si="2">SUM(F75:H75)</f>
        <v>#REF!</v>
      </c>
      <c r="F75" s="47">
        <f>TB!G64</f>
        <v>0</v>
      </c>
      <c r="G75" s="55" t="e">
        <f>[1]Sheet1!K63</f>
        <v>#REF!</v>
      </c>
      <c r="H75" s="16" t="e">
        <f>[1]Sheet1!M63</f>
        <v>#REF!</v>
      </c>
    </row>
    <row r="76" spans="1:8" s="17" customFormat="1" ht="15.75" hidden="1" customHeight="1">
      <c r="A76" s="43"/>
      <c r="B76" s="43"/>
      <c r="C76" s="68" t="s">
        <v>959</v>
      </c>
      <c r="D76" s="43"/>
      <c r="E76" s="44" t="e">
        <f t="shared" si="2"/>
        <v>#REF!</v>
      </c>
      <c r="F76" s="47">
        <f>TB!G65</f>
        <v>0</v>
      </c>
      <c r="G76" s="55" t="e">
        <f>[1]Sheet1!K64</f>
        <v>#REF!</v>
      </c>
      <c r="H76" s="16" t="e">
        <f>[1]Sheet1!M64</f>
        <v>#REF!</v>
      </c>
    </row>
    <row r="77" spans="1:8" s="17" customFormat="1" ht="15.75" hidden="1" customHeight="1">
      <c r="A77" s="43"/>
      <c r="B77" s="43"/>
      <c r="C77" s="68" t="s">
        <v>960</v>
      </c>
      <c r="D77" s="43"/>
      <c r="E77" s="44" t="e">
        <f t="shared" si="2"/>
        <v>#REF!</v>
      </c>
      <c r="F77" s="47">
        <f>TB!G66</f>
        <v>0</v>
      </c>
      <c r="G77" s="55" t="e">
        <f>[1]Sheet1!K65</f>
        <v>#REF!</v>
      </c>
      <c r="H77" s="16" t="e">
        <f>[1]Sheet1!M65</f>
        <v>#REF!</v>
      </c>
    </row>
    <row r="78" spans="1:8" s="17" customFormat="1" ht="15.75" hidden="1" customHeight="1">
      <c r="A78" s="43"/>
      <c r="B78" s="43"/>
      <c r="C78" s="68" t="s">
        <v>961</v>
      </c>
      <c r="D78" s="43"/>
      <c r="E78" s="44" t="e">
        <f t="shared" si="2"/>
        <v>#REF!</v>
      </c>
      <c r="F78" s="47">
        <f>TB!G67</f>
        <v>0</v>
      </c>
      <c r="G78" s="55" t="e">
        <f>[1]Sheet1!K66</f>
        <v>#REF!</v>
      </c>
      <c r="H78" s="16" t="e">
        <f>[1]Sheet1!M66</f>
        <v>#REF!</v>
      </c>
    </row>
    <row r="79" spans="1:8" s="17" customFormat="1" ht="15.75" hidden="1" customHeight="1">
      <c r="A79" s="43"/>
      <c r="B79" s="43"/>
      <c r="C79" s="68" t="s">
        <v>962</v>
      </c>
      <c r="D79" s="43"/>
      <c r="E79" s="44" t="e">
        <f t="shared" si="2"/>
        <v>#REF!</v>
      </c>
      <c r="F79" s="47">
        <f>TB!G68</f>
        <v>0</v>
      </c>
      <c r="G79" s="55" t="e">
        <f>[1]Sheet1!K67</f>
        <v>#REF!</v>
      </c>
      <c r="H79" s="16" t="e">
        <f>[1]Sheet1!M67</f>
        <v>#REF!</v>
      </c>
    </row>
    <row r="80" spans="1:8" s="17" customFormat="1" ht="15.75" hidden="1" customHeight="1">
      <c r="A80" s="43"/>
      <c r="B80" s="43"/>
      <c r="C80" s="68" t="s">
        <v>963</v>
      </c>
      <c r="D80" s="43"/>
      <c r="E80" s="44" t="e">
        <f t="shared" si="2"/>
        <v>#REF!</v>
      </c>
      <c r="F80" s="47">
        <f>TB!G69</f>
        <v>0</v>
      </c>
      <c r="G80" s="55" t="e">
        <f>[1]Sheet1!K68</f>
        <v>#REF!</v>
      </c>
      <c r="H80" s="16" t="e">
        <f>[1]Sheet1!M68</f>
        <v>#REF!</v>
      </c>
    </row>
    <row r="81" spans="1:8" s="17" customFormat="1" ht="15.75" hidden="1" customHeight="1">
      <c r="A81" s="43"/>
      <c r="B81" s="43"/>
      <c r="C81" s="68" t="s">
        <v>964</v>
      </c>
      <c r="D81" s="43"/>
      <c r="E81" s="44" t="e">
        <f t="shared" si="2"/>
        <v>#REF!</v>
      </c>
      <c r="F81" s="47">
        <f>TB!G70</f>
        <v>0</v>
      </c>
      <c r="G81" s="55" t="e">
        <f>[1]Sheet1!K69</f>
        <v>#REF!</v>
      </c>
      <c r="H81" s="16" t="e">
        <f>[1]Sheet1!M69</f>
        <v>#REF!</v>
      </c>
    </row>
    <row r="82" spans="1:8" s="14" customFormat="1" ht="15.75" hidden="1" customHeight="1">
      <c r="A82" s="65"/>
      <c r="B82" s="65" t="s">
        <v>485</v>
      </c>
      <c r="C82" s="65"/>
      <c r="D82" s="69"/>
      <c r="E82" s="67" t="e">
        <f>SUM(E83:E84)</f>
        <v>#REF!</v>
      </c>
      <c r="F82" s="74">
        <f>SUM(F83:F84)</f>
        <v>0</v>
      </c>
      <c r="G82" s="54" t="e">
        <f>SUM(G83:G84)</f>
        <v>#REF!</v>
      </c>
      <c r="H82" s="15" t="e">
        <f>SUM(H83:H84)</f>
        <v>#REF!</v>
      </c>
    </row>
    <row r="83" spans="1:8" s="17" customFormat="1" ht="15.75" hidden="1" customHeight="1">
      <c r="A83" s="43"/>
      <c r="B83" s="43"/>
      <c r="C83" s="43"/>
      <c r="D83" s="68" t="s">
        <v>965</v>
      </c>
      <c r="E83" s="44" t="e">
        <f>SUM(F83:H83)</f>
        <v>#REF!</v>
      </c>
      <c r="F83" s="47">
        <f>TB!G71</f>
        <v>0</v>
      </c>
      <c r="G83" s="55" t="e">
        <f>[1]Sheet1!K70</f>
        <v>#REF!</v>
      </c>
      <c r="H83" s="16" t="e">
        <f>[1]Sheet1!M70</f>
        <v>#REF!</v>
      </c>
    </row>
    <row r="84" spans="1:8" s="17" customFormat="1" ht="15.75" hidden="1" customHeight="1">
      <c r="A84" s="43"/>
      <c r="B84" s="43"/>
      <c r="C84" s="43"/>
      <c r="D84" s="68" t="s">
        <v>967</v>
      </c>
      <c r="E84" s="44" t="e">
        <f>SUM(F84:H84)</f>
        <v>#REF!</v>
      </c>
      <c r="F84" s="47">
        <f>TB!G72</f>
        <v>0</v>
      </c>
      <c r="G84" s="55" t="e">
        <f>[1]Sheet1!K71</f>
        <v>#REF!</v>
      </c>
      <c r="H84" s="16" t="e">
        <f>[1]Sheet1!M71</f>
        <v>#REF!</v>
      </c>
    </row>
    <row r="85" spans="1:8" s="14" customFormat="1" ht="15.75" customHeight="1">
      <c r="A85" s="65"/>
      <c r="B85" s="65"/>
      <c r="C85" s="65"/>
      <c r="D85" s="69" t="s">
        <v>486</v>
      </c>
      <c r="E85" s="72" t="e">
        <f>+E82+E74+E49+E27+E11</f>
        <v>#REF!</v>
      </c>
      <c r="F85" s="90">
        <f>+F82+F74+F49+F27+F11</f>
        <v>16559911.140000001</v>
      </c>
      <c r="G85" s="57" t="e">
        <f>+G82+G74+G49+G27+G11</f>
        <v>#REF!</v>
      </c>
      <c r="H85" s="18" t="e">
        <f>+H82+H74+H49+H27+H11</f>
        <v>#REF!</v>
      </c>
    </row>
    <row r="86" spans="1:8" s="14" customFormat="1" ht="15.75" hidden="1" customHeight="1">
      <c r="A86" s="65" t="s">
        <v>487</v>
      </c>
      <c r="B86" s="65"/>
      <c r="C86" s="65"/>
      <c r="D86" s="69"/>
      <c r="E86" s="67"/>
      <c r="F86" s="74"/>
      <c r="G86" s="54"/>
      <c r="H86" s="15"/>
    </row>
    <row r="87" spans="1:8" s="14" customFormat="1" ht="15.75" hidden="1" customHeight="1">
      <c r="A87" s="65"/>
      <c r="B87" s="65" t="s">
        <v>488</v>
      </c>
      <c r="C87" s="69"/>
      <c r="D87" s="65"/>
      <c r="E87" s="67" t="e">
        <f>SUM(E88:E91)</f>
        <v>#REF!</v>
      </c>
      <c r="F87" s="74">
        <f>SUM(F88:F91)</f>
        <v>0</v>
      </c>
      <c r="G87" s="54" t="e">
        <f>SUM(G88:G91)</f>
        <v>#REF!</v>
      </c>
      <c r="H87" s="15" t="e">
        <f>SUM(H88:H91)</f>
        <v>#REF!</v>
      </c>
    </row>
    <row r="88" spans="1:8" s="17" customFormat="1" ht="15.75" hidden="1" customHeight="1">
      <c r="A88" s="43"/>
      <c r="B88" s="43"/>
      <c r="C88" s="68" t="s">
        <v>969</v>
      </c>
      <c r="D88" s="43"/>
      <c r="E88" s="44" t="e">
        <f>SUM(F88:H88)</f>
        <v>#REF!</v>
      </c>
      <c r="F88" s="47">
        <f>TB!G73</f>
        <v>0</v>
      </c>
      <c r="G88" s="55" t="e">
        <f>[1]Sheet1!K72</f>
        <v>#REF!</v>
      </c>
      <c r="H88" s="16" t="e">
        <f>[1]Sheet1!M72</f>
        <v>#REF!</v>
      </c>
    </row>
    <row r="89" spans="1:8" s="17" customFormat="1" ht="15.75" hidden="1" customHeight="1">
      <c r="A89" s="43"/>
      <c r="B89" s="43"/>
      <c r="C89" s="68" t="s">
        <v>971</v>
      </c>
      <c r="D89" s="43"/>
      <c r="E89" s="44" t="e">
        <f>SUM(F89:H89)</f>
        <v>#REF!</v>
      </c>
      <c r="F89" s="47">
        <f>TB!G74</f>
        <v>0</v>
      </c>
      <c r="G89" s="55" t="e">
        <f>[1]Sheet1!K73</f>
        <v>#REF!</v>
      </c>
      <c r="H89" s="16" t="e">
        <f>[1]Sheet1!M73</f>
        <v>#REF!</v>
      </c>
    </row>
    <row r="90" spans="1:8" s="17" customFormat="1" ht="15.75" hidden="1" customHeight="1">
      <c r="A90" s="43"/>
      <c r="B90" s="43"/>
      <c r="C90" s="68" t="s">
        <v>973</v>
      </c>
      <c r="D90" s="43"/>
      <c r="E90" s="44" t="e">
        <f>SUM(F90:H90)</f>
        <v>#REF!</v>
      </c>
      <c r="F90" s="47">
        <f>TB!G75</f>
        <v>0</v>
      </c>
      <c r="G90" s="55" t="e">
        <f>[1]Sheet1!K74</f>
        <v>#REF!</v>
      </c>
      <c r="H90" s="16" t="e">
        <f>[1]Sheet1!M74</f>
        <v>#REF!</v>
      </c>
    </row>
    <row r="91" spans="1:8" s="17" customFormat="1" ht="15.75" hidden="1" customHeight="1">
      <c r="A91" s="43"/>
      <c r="B91" s="43"/>
      <c r="C91" s="68" t="s">
        <v>975</v>
      </c>
      <c r="D91" s="43"/>
      <c r="E91" s="44" t="e">
        <f>SUM(F91:H91)</f>
        <v>#REF!</v>
      </c>
      <c r="F91" s="47">
        <f>TB!G76</f>
        <v>0</v>
      </c>
      <c r="G91" s="55" t="e">
        <f>[1]Sheet1!K75</f>
        <v>#REF!</v>
      </c>
      <c r="H91" s="16" t="e">
        <f>[1]Sheet1!M75</f>
        <v>#REF!</v>
      </c>
    </row>
    <row r="92" spans="1:8" s="14" customFormat="1" ht="15.75" hidden="1" customHeight="1">
      <c r="A92" s="65"/>
      <c r="B92" s="65" t="s">
        <v>489</v>
      </c>
      <c r="C92" s="69"/>
      <c r="D92" s="65"/>
      <c r="E92" s="67" t="e">
        <f>+E93</f>
        <v>#REF!</v>
      </c>
      <c r="F92" s="74">
        <f>+F93</f>
        <v>0</v>
      </c>
      <c r="G92" s="54" t="e">
        <f>+G93</f>
        <v>#REF!</v>
      </c>
      <c r="H92" s="15" t="e">
        <f>+H93</f>
        <v>#REF!</v>
      </c>
    </row>
    <row r="93" spans="1:8" s="17" customFormat="1" ht="15.75" hidden="1" customHeight="1">
      <c r="A93" s="43"/>
      <c r="B93" s="43"/>
      <c r="C93" s="68" t="s">
        <v>977</v>
      </c>
      <c r="D93" s="43"/>
      <c r="E93" s="44" t="e">
        <f>SUM(F93:H93)</f>
        <v>#REF!</v>
      </c>
      <c r="F93" s="47">
        <f>TB!G77</f>
        <v>0</v>
      </c>
      <c r="G93" s="55" t="e">
        <f>[1]Sheet1!K76</f>
        <v>#REF!</v>
      </c>
      <c r="H93" s="16" t="e">
        <f>[1]Sheet1!M76</f>
        <v>#REF!</v>
      </c>
    </row>
    <row r="94" spans="1:8" s="14" customFormat="1" ht="15.75" hidden="1" customHeight="1">
      <c r="A94" s="65"/>
      <c r="B94" s="65"/>
      <c r="C94" s="69"/>
      <c r="D94" s="65" t="s">
        <v>490</v>
      </c>
      <c r="E94" s="67" t="e">
        <f>+E92+E87</f>
        <v>#REF!</v>
      </c>
      <c r="F94" s="74">
        <f>+F92+F87</f>
        <v>0</v>
      </c>
      <c r="G94" s="54" t="e">
        <f>+G92+G87</f>
        <v>#REF!</v>
      </c>
      <c r="H94" s="15" t="e">
        <f>+H92+H87</f>
        <v>#REF!</v>
      </c>
    </row>
    <row r="95" spans="1:8" s="14" customFormat="1" ht="15.75" hidden="1" customHeight="1">
      <c r="A95" s="65" t="s">
        <v>491</v>
      </c>
      <c r="B95" s="65"/>
      <c r="C95" s="65"/>
      <c r="D95" s="69"/>
      <c r="E95" s="67"/>
      <c r="F95" s="74"/>
      <c r="G95" s="54"/>
      <c r="H95" s="15"/>
    </row>
    <row r="96" spans="1:8" s="14" customFormat="1" ht="15.75" hidden="1" customHeight="1">
      <c r="A96" s="65"/>
      <c r="B96" s="65" t="s">
        <v>492</v>
      </c>
      <c r="C96" s="65"/>
      <c r="D96" s="69"/>
      <c r="E96" s="67" t="e">
        <f>+E97+E98+E101+E104+E107</f>
        <v>#REF!</v>
      </c>
      <c r="F96" s="74">
        <f>+F97+F98+F101+F104+F107</f>
        <v>0</v>
      </c>
      <c r="G96" s="54" t="e">
        <f>+G97+G98+G101+G104+G107</f>
        <v>#REF!</v>
      </c>
      <c r="H96" s="15" t="e">
        <f>+H97+H98+H101+H104+H107</f>
        <v>#REF!</v>
      </c>
    </row>
    <row r="97" spans="1:8" s="17" customFormat="1" ht="15.75" hidden="1" customHeight="1">
      <c r="A97" s="43"/>
      <c r="B97" s="43"/>
      <c r="C97" s="68" t="s">
        <v>979</v>
      </c>
      <c r="D97" s="43"/>
      <c r="E97" s="44" t="e">
        <f t="shared" ref="E97:E109" si="3">SUM(F97:H97)</f>
        <v>#REF!</v>
      </c>
      <c r="F97" s="47">
        <f>TB!G78</f>
        <v>0</v>
      </c>
      <c r="G97" s="55" t="e">
        <f>[1]Sheet1!K77</f>
        <v>#REF!</v>
      </c>
      <c r="H97" s="16" t="e">
        <f>[1]Sheet1!M77</f>
        <v>#REF!</v>
      </c>
    </row>
    <row r="98" spans="1:8" s="17" customFormat="1" ht="15.75" hidden="1" customHeight="1">
      <c r="A98" s="43"/>
      <c r="B98" s="43"/>
      <c r="C98" s="68" t="s">
        <v>493</v>
      </c>
      <c r="D98" s="43"/>
      <c r="E98" s="44" t="e">
        <f t="shared" si="3"/>
        <v>#REF!</v>
      </c>
      <c r="F98" s="47">
        <f>+F99-F100</f>
        <v>0</v>
      </c>
      <c r="G98" s="55" t="e">
        <f>+G99-G100</f>
        <v>#REF!</v>
      </c>
      <c r="H98" s="16" t="e">
        <f>+H99-H100</f>
        <v>#REF!</v>
      </c>
    </row>
    <row r="99" spans="1:8" s="17" customFormat="1" ht="15.75" hidden="1" customHeight="1">
      <c r="A99" s="43"/>
      <c r="B99" s="43"/>
      <c r="C99" s="43"/>
      <c r="D99" s="68" t="s">
        <v>980</v>
      </c>
      <c r="E99" s="44" t="e">
        <f t="shared" si="3"/>
        <v>#REF!</v>
      </c>
      <c r="F99" s="47">
        <f>TB!G79</f>
        <v>0</v>
      </c>
      <c r="G99" s="55" t="e">
        <f>[1]Sheet1!K78</f>
        <v>#REF!</v>
      </c>
      <c r="H99" s="16" t="e">
        <f>[1]Sheet1!M78</f>
        <v>#REF!</v>
      </c>
    </row>
    <row r="100" spans="1:8" s="17" customFormat="1" ht="15.75" hidden="1" customHeight="1">
      <c r="A100" s="43"/>
      <c r="B100" s="43"/>
      <c r="C100" s="43"/>
      <c r="D100" s="68" t="s">
        <v>981</v>
      </c>
      <c r="E100" s="44" t="e">
        <f t="shared" si="3"/>
        <v>#REF!</v>
      </c>
      <c r="F100" s="47">
        <f>TB!J80</f>
        <v>0</v>
      </c>
      <c r="G100" s="56" t="e">
        <f>[1]Sheet1!L79</f>
        <v>#REF!</v>
      </c>
      <c r="H100" s="9" t="e">
        <f>[1]Sheet1!N79</f>
        <v>#REF!</v>
      </c>
    </row>
    <row r="101" spans="1:8" s="17" customFormat="1" ht="15.75" hidden="1" customHeight="1">
      <c r="A101" s="43"/>
      <c r="B101" s="43"/>
      <c r="C101" s="68" t="s">
        <v>494</v>
      </c>
      <c r="D101" s="43"/>
      <c r="E101" s="44" t="e">
        <f t="shared" si="3"/>
        <v>#REF!</v>
      </c>
      <c r="F101" s="47">
        <f>+F102-F103</f>
        <v>0</v>
      </c>
      <c r="G101" s="55" t="e">
        <f>+G102-G103</f>
        <v>#REF!</v>
      </c>
      <c r="H101" s="16" t="e">
        <f>+H102-H103</f>
        <v>#REF!</v>
      </c>
    </row>
    <row r="102" spans="1:8" s="17" customFormat="1" ht="15.75" hidden="1" customHeight="1">
      <c r="A102" s="43"/>
      <c r="B102" s="43"/>
      <c r="C102" s="43"/>
      <c r="D102" s="68" t="s">
        <v>982</v>
      </c>
      <c r="E102" s="44" t="e">
        <f t="shared" si="3"/>
        <v>#REF!</v>
      </c>
      <c r="F102" s="47">
        <f>TB!G81</f>
        <v>0</v>
      </c>
      <c r="G102" s="55" t="e">
        <f>[1]Sheet1!K80</f>
        <v>#REF!</v>
      </c>
      <c r="H102" s="16" t="e">
        <f>[1]Sheet1!M80</f>
        <v>#REF!</v>
      </c>
    </row>
    <row r="103" spans="1:8" s="17" customFormat="1" ht="15.75" hidden="1" customHeight="1">
      <c r="A103" s="43"/>
      <c r="B103" s="43"/>
      <c r="C103" s="43"/>
      <c r="D103" s="68" t="s">
        <v>734</v>
      </c>
      <c r="E103" s="44" t="e">
        <f t="shared" si="3"/>
        <v>#REF!</v>
      </c>
      <c r="F103" s="47">
        <f>TB!J82</f>
        <v>0</v>
      </c>
      <c r="G103" s="56" t="e">
        <f>[1]Sheet1!L81</f>
        <v>#REF!</v>
      </c>
      <c r="H103" s="9" t="e">
        <f>[1]Sheet1!N81</f>
        <v>#REF!</v>
      </c>
    </row>
    <row r="104" spans="1:8" s="17" customFormat="1" ht="15.75" hidden="1" customHeight="1">
      <c r="A104" s="43"/>
      <c r="B104" s="43"/>
      <c r="C104" s="68" t="s">
        <v>495</v>
      </c>
      <c r="D104" s="43"/>
      <c r="E104" s="44" t="e">
        <f t="shared" si="3"/>
        <v>#REF!</v>
      </c>
      <c r="F104" s="47">
        <f>+F105-F106</f>
        <v>0</v>
      </c>
      <c r="G104" s="55" t="e">
        <f>+G105-G106</f>
        <v>#REF!</v>
      </c>
      <c r="H104" s="16" t="e">
        <f>+H105-H106</f>
        <v>#REF!</v>
      </c>
    </row>
    <row r="105" spans="1:8" s="17" customFormat="1" ht="15.75" hidden="1" customHeight="1">
      <c r="A105" s="43"/>
      <c r="B105" s="43"/>
      <c r="C105" s="43"/>
      <c r="D105" s="68" t="s">
        <v>735</v>
      </c>
      <c r="E105" s="44" t="e">
        <f t="shared" si="3"/>
        <v>#REF!</v>
      </c>
      <c r="F105" s="47">
        <f>TB!G83</f>
        <v>0</v>
      </c>
      <c r="G105" s="55" t="e">
        <f>[1]Sheet1!K82</f>
        <v>#REF!</v>
      </c>
      <c r="H105" s="16" t="e">
        <f>[1]Sheet1!M82</f>
        <v>#REF!</v>
      </c>
    </row>
    <row r="106" spans="1:8" s="17" customFormat="1" ht="15.75" hidden="1" customHeight="1">
      <c r="A106" s="43"/>
      <c r="B106" s="43"/>
      <c r="C106" s="43"/>
      <c r="D106" s="68" t="s">
        <v>736</v>
      </c>
      <c r="E106" s="44" t="e">
        <f t="shared" si="3"/>
        <v>#REF!</v>
      </c>
      <c r="F106" s="47">
        <f>TB!J84</f>
        <v>0</v>
      </c>
      <c r="G106" s="56" t="e">
        <f>[1]Sheet1!L83</f>
        <v>#REF!</v>
      </c>
      <c r="H106" s="9" t="e">
        <f>[1]Sheet1!N83</f>
        <v>#REF!</v>
      </c>
    </row>
    <row r="107" spans="1:8" s="17" customFormat="1" ht="15.75" hidden="1" customHeight="1">
      <c r="A107" s="43"/>
      <c r="B107" s="43"/>
      <c r="C107" s="68" t="s">
        <v>496</v>
      </c>
      <c r="D107" s="43"/>
      <c r="E107" s="44" t="e">
        <f t="shared" si="3"/>
        <v>#REF!</v>
      </c>
      <c r="F107" s="47">
        <f>+F108-F109</f>
        <v>0</v>
      </c>
      <c r="G107" s="55" t="e">
        <f>+G108-G109</f>
        <v>#REF!</v>
      </c>
      <c r="H107" s="16" t="e">
        <f>+H108-H109</f>
        <v>#REF!</v>
      </c>
    </row>
    <row r="108" spans="1:8" s="17" customFormat="1" ht="15.75" hidden="1" customHeight="1">
      <c r="A108" s="43"/>
      <c r="B108" s="43"/>
      <c r="C108" s="43"/>
      <c r="D108" s="68" t="s">
        <v>737</v>
      </c>
      <c r="E108" s="44" t="e">
        <f t="shared" si="3"/>
        <v>#REF!</v>
      </c>
      <c r="F108" s="47">
        <f>TB!G85</f>
        <v>0</v>
      </c>
      <c r="G108" s="55" t="e">
        <f>[1]Sheet1!K84</f>
        <v>#REF!</v>
      </c>
      <c r="H108" s="16" t="e">
        <f>[1]Sheet1!M84</f>
        <v>#REF!</v>
      </c>
    </row>
    <row r="109" spans="1:8" s="17" customFormat="1" ht="15.75" hidden="1" customHeight="1">
      <c r="A109" s="43"/>
      <c r="B109" s="43"/>
      <c r="C109" s="43"/>
      <c r="D109" s="68" t="s">
        <v>2273</v>
      </c>
      <c r="E109" s="44" t="e">
        <f t="shared" si="3"/>
        <v>#REF!</v>
      </c>
      <c r="F109" s="47">
        <f>TB!J86</f>
        <v>0</v>
      </c>
      <c r="G109" s="56" t="e">
        <f>[1]Sheet1!L85</f>
        <v>#REF!</v>
      </c>
      <c r="H109" s="9" t="e">
        <f>[1]Sheet1!N85</f>
        <v>#REF!</v>
      </c>
    </row>
    <row r="110" spans="1:8" s="14" customFormat="1" ht="15.75" hidden="1" customHeight="1">
      <c r="A110" s="65"/>
      <c r="B110" s="65" t="s">
        <v>497</v>
      </c>
      <c r="C110" s="65"/>
      <c r="D110" s="69"/>
      <c r="E110" s="67" t="e">
        <f>+E111+E114+E117+E120+E123</f>
        <v>#REF!</v>
      </c>
      <c r="F110" s="74">
        <f>+F111+F114+F117+F120+F123</f>
        <v>0</v>
      </c>
      <c r="G110" s="54" t="e">
        <f>+G111+G114+G117+G120+G123</f>
        <v>#REF!</v>
      </c>
      <c r="H110" s="15" t="e">
        <f>+H111+H114+H117+H120+H123</f>
        <v>#REF!</v>
      </c>
    </row>
    <row r="111" spans="1:8" s="17" customFormat="1" ht="15.75" hidden="1" customHeight="1">
      <c r="A111" s="43"/>
      <c r="B111" s="43"/>
      <c r="C111" s="68" t="s">
        <v>498</v>
      </c>
      <c r="D111" s="43"/>
      <c r="E111" s="44" t="e">
        <f t="shared" ref="E111:E125" si="4">SUM(F111:H111)</f>
        <v>#REF!</v>
      </c>
      <c r="F111" s="47">
        <f>+F112-F113</f>
        <v>0</v>
      </c>
      <c r="G111" s="55" t="e">
        <f>+G112-G113</f>
        <v>#REF!</v>
      </c>
      <c r="H111" s="16" t="e">
        <f>+H112-H113</f>
        <v>#REF!</v>
      </c>
    </row>
    <row r="112" spans="1:8" s="17" customFormat="1" ht="15.75" hidden="1" customHeight="1">
      <c r="A112" s="43"/>
      <c r="B112" s="43"/>
      <c r="C112" s="43"/>
      <c r="D112" s="68" t="s">
        <v>2274</v>
      </c>
      <c r="E112" s="44" t="e">
        <f t="shared" si="4"/>
        <v>#REF!</v>
      </c>
      <c r="F112" s="47">
        <f>TB!G87</f>
        <v>0</v>
      </c>
      <c r="G112" s="55" t="e">
        <f>[1]Sheet1!K86</f>
        <v>#REF!</v>
      </c>
      <c r="H112" s="16" t="e">
        <f>[1]Sheet1!M86</f>
        <v>#REF!</v>
      </c>
    </row>
    <row r="113" spans="1:8" s="17" customFormat="1" ht="15.75" hidden="1" customHeight="1">
      <c r="A113" s="43"/>
      <c r="B113" s="43"/>
      <c r="C113" s="43"/>
      <c r="D113" s="68" t="s">
        <v>39</v>
      </c>
      <c r="E113" s="44" t="e">
        <f t="shared" si="4"/>
        <v>#REF!</v>
      </c>
      <c r="F113" s="47">
        <f>TB!J88</f>
        <v>0</v>
      </c>
      <c r="G113" s="56" t="e">
        <f>[1]Sheet1!L87</f>
        <v>#REF!</v>
      </c>
      <c r="H113" s="9" t="e">
        <f>[1]Sheet1!N87</f>
        <v>#REF!</v>
      </c>
    </row>
    <row r="114" spans="1:8" s="17" customFormat="1" ht="16.5" hidden="1" customHeight="1">
      <c r="A114" s="43"/>
      <c r="B114" s="43"/>
      <c r="C114" s="68" t="s">
        <v>499</v>
      </c>
      <c r="D114" s="43"/>
      <c r="E114" s="44" t="e">
        <f t="shared" si="4"/>
        <v>#REF!</v>
      </c>
      <c r="F114" s="47">
        <f>+F115-F116</f>
        <v>0</v>
      </c>
      <c r="G114" s="55" t="e">
        <f>+G115-G116</f>
        <v>#REF!</v>
      </c>
      <c r="H114" s="16" t="e">
        <f>+H115-H116</f>
        <v>#REF!</v>
      </c>
    </row>
    <row r="115" spans="1:8" s="17" customFormat="1" ht="15.75" hidden="1" customHeight="1">
      <c r="A115" s="43"/>
      <c r="B115" s="43"/>
      <c r="C115" s="43"/>
      <c r="D115" s="68" t="s">
        <v>41</v>
      </c>
      <c r="E115" s="44" t="e">
        <f t="shared" si="4"/>
        <v>#REF!</v>
      </c>
      <c r="F115" s="47">
        <f>TB!G89</f>
        <v>0</v>
      </c>
      <c r="G115" s="55" t="e">
        <f>[1]Sheet1!K88</f>
        <v>#REF!</v>
      </c>
      <c r="H115" s="16" t="e">
        <f>[1]Sheet1!M88</f>
        <v>#REF!</v>
      </c>
    </row>
    <row r="116" spans="1:8" s="17" customFormat="1" ht="15.75" hidden="1" customHeight="1">
      <c r="A116" s="43"/>
      <c r="B116" s="43"/>
      <c r="C116" s="43"/>
      <c r="D116" s="68" t="s">
        <v>43</v>
      </c>
      <c r="E116" s="44" t="e">
        <f t="shared" si="4"/>
        <v>#REF!</v>
      </c>
      <c r="F116" s="47">
        <f>TB!J90</f>
        <v>0</v>
      </c>
      <c r="G116" s="56" t="e">
        <f>[1]Sheet1!L89</f>
        <v>#REF!</v>
      </c>
      <c r="H116" s="9" t="e">
        <f>[1]Sheet1!N89</f>
        <v>#REF!</v>
      </c>
    </row>
    <row r="117" spans="1:8" s="17" customFormat="1" ht="15.75" hidden="1" customHeight="1">
      <c r="A117" s="43"/>
      <c r="B117" s="43"/>
      <c r="C117" s="68" t="s">
        <v>500</v>
      </c>
      <c r="D117" s="43"/>
      <c r="E117" s="44" t="e">
        <f t="shared" si="4"/>
        <v>#REF!</v>
      </c>
      <c r="F117" s="47">
        <f>+F118-F119</f>
        <v>0</v>
      </c>
      <c r="G117" s="55" t="e">
        <f>+G118-G119</f>
        <v>#REF!</v>
      </c>
      <c r="H117" s="16" t="e">
        <f>+H118-H119</f>
        <v>#REF!</v>
      </c>
    </row>
    <row r="118" spans="1:8" s="17" customFormat="1" ht="15.75" hidden="1" customHeight="1">
      <c r="A118" s="43"/>
      <c r="B118" s="43"/>
      <c r="C118" s="43"/>
      <c r="D118" s="68" t="s">
        <v>45</v>
      </c>
      <c r="E118" s="44" t="e">
        <f t="shared" si="4"/>
        <v>#REF!</v>
      </c>
      <c r="F118" s="47">
        <f>TB!G91</f>
        <v>0</v>
      </c>
      <c r="G118" s="55" t="e">
        <f>[1]Sheet1!K90</f>
        <v>#REF!</v>
      </c>
      <c r="H118" s="16" t="e">
        <f>[1]Sheet1!M90</f>
        <v>#REF!</v>
      </c>
    </row>
    <row r="119" spans="1:8" s="17" customFormat="1" ht="15.75" hidden="1" customHeight="1">
      <c r="A119" s="43"/>
      <c r="B119" s="43"/>
      <c r="C119" s="43"/>
      <c r="D119" s="68" t="s">
        <v>2324</v>
      </c>
      <c r="E119" s="44" t="e">
        <f t="shared" si="4"/>
        <v>#REF!</v>
      </c>
      <c r="F119" s="47">
        <f>TB!J92</f>
        <v>0</v>
      </c>
      <c r="G119" s="56" t="e">
        <f>[1]Sheet1!L91</f>
        <v>#REF!</v>
      </c>
      <c r="H119" s="9" t="e">
        <f>[1]Sheet1!N91</f>
        <v>#REF!</v>
      </c>
    </row>
    <row r="120" spans="1:8" s="17" customFormat="1" ht="15.75" hidden="1" customHeight="1">
      <c r="A120" s="43"/>
      <c r="B120" s="43"/>
      <c r="C120" s="68" t="s">
        <v>501</v>
      </c>
      <c r="D120" s="43"/>
      <c r="E120" s="44" t="e">
        <f t="shared" si="4"/>
        <v>#REF!</v>
      </c>
      <c r="F120" s="47">
        <f>+F121-F122</f>
        <v>0</v>
      </c>
      <c r="G120" s="55" t="e">
        <f>+G121-G122</f>
        <v>#REF!</v>
      </c>
      <c r="H120" s="16" t="e">
        <f>+H121-H122</f>
        <v>#REF!</v>
      </c>
    </row>
    <row r="121" spans="1:8" s="17" customFormat="1" ht="15.75" hidden="1" customHeight="1">
      <c r="A121" s="43"/>
      <c r="B121" s="43"/>
      <c r="C121" s="43"/>
      <c r="D121" s="68" t="s">
        <v>2326</v>
      </c>
      <c r="E121" s="44" t="e">
        <f t="shared" si="4"/>
        <v>#REF!</v>
      </c>
      <c r="F121" s="47">
        <f>TB!G93</f>
        <v>0</v>
      </c>
      <c r="G121" s="55" t="e">
        <f>[1]Sheet1!K92</f>
        <v>#REF!</v>
      </c>
      <c r="H121" s="16" t="e">
        <f>[1]Sheet1!M92</f>
        <v>#REF!</v>
      </c>
    </row>
    <row r="122" spans="1:8" s="17" customFormat="1" ht="15.75" hidden="1" customHeight="1">
      <c r="A122" s="43"/>
      <c r="B122" s="43"/>
      <c r="C122" s="43"/>
      <c r="D122" s="68" t="s">
        <v>2334</v>
      </c>
      <c r="E122" s="44" t="e">
        <f t="shared" si="4"/>
        <v>#REF!</v>
      </c>
      <c r="F122" s="47">
        <f>TB!J94</f>
        <v>0</v>
      </c>
      <c r="G122" s="56" t="e">
        <f>[1]Sheet1!L93</f>
        <v>#REF!</v>
      </c>
      <c r="H122" s="9" t="e">
        <f>[1]Sheet1!N93</f>
        <v>#REF!</v>
      </c>
    </row>
    <row r="123" spans="1:8" s="17" customFormat="1" ht="15.75" hidden="1" customHeight="1">
      <c r="A123" s="43"/>
      <c r="B123" s="43"/>
      <c r="C123" s="68" t="s">
        <v>502</v>
      </c>
      <c r="D123" s="43"/>
      <c r="E123" s="44" t="e">
        <f t="shared" si="4"/>
        <v>#REF!</v>
      </c>
      <c r="F123" s="47">
        <f>+F124-F125</f>
        <v>0</v>
      </c>
      <c r="G123" s="55" t="e">
        <f>+G124-G125</f>
        <v>#REF!</v>
      </c>
      <c r="H123" s="16" t="e">
        <f>+H124-H125</f>
        <v>#REF!</v>
      </c>
    </row>
    <row r="124" spans="1:8" s="17" customFormat="1" ht="15.75" hidden="1" customHeight="1">
      <c r="A124" s="43"/>
      <c r="B124" s="43"/>
      <c r="C124" s="43"/>
      <c r="D124" s="68" t="s">
        <v>2336</v>
      </c>
      <c r="E124" s="44" t="e">
        <f t="shared" si="4"/>
        <v>#REF!</v>
      </c>
      <c r="F124" s="47">
        <f>TB!G95</f>
        <v>0</v>
      </c>
      <c r="G124" s="55" t="e">
        <f>[1]Sheet1!K94</f>
        <v>#REF!</v>
      </c>
      <c r="H124" s="16" t="e">
        <f>[1]Sheet1!M94</f>
        <v>#REF!</v>
      </c>
    </row>
    <row r="125" spans="1:8" s="17" customFormat="1" ht="15.75" hidden="1" customHeight="1">
      <c r="A125" s="43"/>
      <c r="B125" s="43"/>
      <c r="C125" s="43"/>
      <c r="D125" s="68" t="s">
        <v>2338</v>
      </c>
      <c r="E125" s="44" t="e">
        <f t="shared" si="4"/>
        <v>#REF!</v>
      </c>
      <c r="F125" s="47">
        <f>TB!J96</f>
        <v>0</v>
      </c>
      <c r="G125" s="56" t="e">
        <f>[1]Sheet1!L95</f>
        <v>#REF!</v>
      </c>
      <c r="H125" s="9" t="e">
        <f>[1]Sheet1!N95</f>
        <v>#REF!</v>
      </c>
    </row>
    <row r="126" spans="1:8" s="14" customFormat="1" ht="15.75" hidden="1" customHeight="1">
      <c r="A126" s="65"/>
      <c r="B126" s="65" t="s">
        <v>503</v>
      </c>
      <c r="C126" s="65"/>
      <c r="D126" s="69"/>
      <c r="E126" s="66" t="e">
        <f>+E127+E130+E133</f>
        <v>#REF!</v>
      </c>
      <c r="F126" s="49">
        <f>+F127+F130+F133</f>
        <v>0</v>
      </c>
      <c r="G126" s="58" t="e">
        <f>+G127+G130+G133</f>
        <v>#REF!</v>
      </c>
      <c r="H126" s="19" t="e">
        <f>+H127+H130+H133</f>
        <v>#REF!</v>
      </c>
    </row>
    <row r="127" spans="1:8" s="17" customFormat="1" ht="15.75" hidden="1" customHeight="1">
      <c r="A127" s="43"/>
      <c r="B127" s="43"/>
      <c r="C127" s="68" t="s">
        <v>504</v>
      </c>
      <c r="D127" s="43"/>
      <c r="E127" s="44" t="e">
        <f t="shared" ref="E127:E135" si="5">SUM(F127:H127)</f>
        <v>#REF!</v>
      </c>
      <c r="F127" s="47">
        <f>+F128-F129</f>
        <v>0</v>
      </c>
      <c r="G127" s="55" t="e">
        <f>+G128-G129</f>
        <v>#REF!</v>
      </c>
      <c r="H127" s="16" t="e">
        <f>+H128-H129</f>
        <v>#REF!</v>
      </c>
    </row>
    <row r="128" spans="1:8" s="17" customFormat="1" ht="15.75" hidden="1" customHeight="1">
      <c r="A128" s="43"/>
      <c r="B128" s="43"/>
      <c r="C128" s="43"/>
      <c r="D128" s="68" t="s">
        <v>2340</v>
      </c>
      <c r="E128" s="44" t="e">
        <f t="shared" si="5"/>
        <v>#REF!</v>
      </c>
      <c r="F128" s="47">
        <f>TB!G97</f>
        <v>0</v>
      </c>
      <c r="G128" s="55" t="e">
        <f>[1]Sheet1!K96</f>
        <v>#REF!</v>
      </c>
      <c r="H128" s="16" t="e">
        <f>[1]Sheet1!M96</f>
        <v>#REF!</v>
      </c>
    </row>
    <row r="129" spans="1:8" s="17" customFormat="1" ht="15.75" hidden="1" customHeight="1">
      <c r="A129" s="43"/>
      <c r="B129" s="43"/>
      <c r="C129" s="43"/>
      <c r="D129" s="68" t="s">
        <v>2342</v>
      </c>
      <c r="E129" s="44" t="e">
        <f t="shared" si="5"/>
        <v>#REF!</v>
      </c>
      <c r="F129" s="47">
        <f>TB!J98</f>
        <v>0</v>
      </c>
      <c r="G129" s="56" t="e">
        <f>[1]Sheet1!L97</f>
        <v>#REF!</v>
      </c>
      <c r="H129" s="9" t="e">
        <f>[1]Sheet1!N97</f>
        <v>#REF!</v>
      </c>
    </row>
    <row r="130" spans="1:8" s="17" customFormat="1" ht="15.75" hidden="1" customHeight="1">
      <c r="A130" s="43"/>
      <c r="B130" s="43"/>
      <c r="C130" s="68" t="s">
        <v>505</v>
      </c>
      <c r="D130" s="43"/>
      <c r="E130" s="44" t="e">
        <f t="shared" si="5"/>
        <v>#REF!</v>
      </c>
      <c r="F130" s="47">
        <f>+F131-F132</f>
        <v>0</v>
      </c>
      <c r="G130" s="55" t="e">
        <f>+G131-G132</f>
        <v>#REF!</v>
      </c>
      <c r="H130" s="16" t="e">
        <f>+H131-H132</f>
        <v>#REF!</v>
      </c>
    </row>
    <row r="131" spans="1:8" s="17" customFormat="1" ht="15.75" hidden="1" customHeight="1">
      <c r="A131" s="43"/>
      <c r="B131" s="43"/>
      <c r="C131" s="43"/>
      <c r="D131" s="68" t="s">
        <v>2344</v>
      </c>
      <c r="E131" s="44" t="e">
        <f t="shared" si="5"/>
        <v>#REF!</v>
      </c>
      <c r="F131" s="47">
        <f>TB!G99</f>
        <v>0</v>
      </c>
      <c r="G131" s="55" t="e">
        <f>[1]Sheet1!K98</f>
        <v>#REF!</v>
      </c>
      <c r="H131" s="16" t="e">
        <f>[1]Sheet1!M98</f>
        <v>#REF!</v>
      </c>
    </row>
    <row r="132" spans="1:8" s="17" customFormat="1" ht="15.75" hidden="1" customHeight="1">
      <c r="A132" s="43"/>
      <c r="B132" s="43"/>
      <c r="C132" s="43"/>
      <c r="D132" s="68" t="s">
        <v>2346</v>
      </c>
      <c r="E132" s="44" t="e">
        <f t="shared" si="5"/>
        <v>#REF!</v>
      </c>
      <c r="F132" s="47">
        <f>TB!J100</f>
        <v>0</v>
      </c>
      <c r="G132" s="56" t="e">
        <f>[1]Sheet1!L99</f>
        <v>#REF!</v>
      </c>
      <c r="H132" s="9" t="e">
        <f>[1]Sheet1!N99</f>
        <v>#REF!</v>
      </c>
    </row>
    <row r="133" spans="1:8" s="17" customFormat="1" ht="15.75" hidden="1" customHeight="1">
      <c r="A133" s="43"/>
      <c r="B133" s="43"/>
      <c r="C133" s="68" t="s">
        <v>506</v>
      </c>
      <c r="D133" s="43"/>
      <c r="E133" s="44" t="e">
        <f t="shared" si="5"/>
        <v>#REF!</v>
      </c>
      <c r="F133" s="47">
        <f>+F134-F135</f>
        <v>0</v>
      </c>
      <c r="G133" s="55" t="e">
        <f>+G134-G135</f>
        <v>#REF!</v>
      </c>
      <c r="H133" s="16" t="e">
        <f>+H134-H135</f>
        <v>#REF!</v>
      </c>
    </row>
    <row r="134" spans="1:8" s="17" customFormat="1" ht="15.75" hidden="1" customHeight="1">
      <c r="A134" s="43"/>
      <c r="B134" s="43"/>
      <c r="C134" s="43"/>
      <c r="D134" s="68" t="s">
        <v>2348</v>
      </c>
      <c r="E134" s="44" t="e">
        <f t="shared" si="5"/>
        <v>#REF!</v>
      </c>
      <c r="F134" s="47">
        <f>TB!G101</f>
        <v>0</v>
      </c>
      <c r="G134" s="55" t="e">
        <f>[1]Sheet1!K100</f>
        <v>#REF!</v>
      </c>
      <c r="H134" s="16" t="e">
        <f>[1]Sheet1!M100</f>
        <v>#REF!</v>
      </c>
    </row>
    <row r="135" spans="1:8" s="17" customFormat="1" ht="15.75" hidden="1" customHeight="1">
      <c r="A135" s="43"/>
      <c r="B135" s="43"/>
      <c r="C135" s="43"/>
      <c r="D135" s="68" t="s">
        <v>180</v>
      </c>
      <c r="E135" s="44" t="e">
        <f t="shared" si="5"/>
        <v>#REF!</v>
      </c>
      <c r="F135" s="47">
        <f>TB!J102</f>
        <v>0</v>
      </c>
      <c r="G135" s="56" t="e">
        <f>[1]Sheet1!L101</f>
        <v>#REF!</v>
      </c>
      <c r="H135" s="9" t="e">
        <f>[1]Sheet1!N101</f>
        <v>#REF!</v>
      </c>
    </row>
    <row r="136" spans="1:8" s="14" customFormat="1" ht="15.75" hidden="1" customHeight="1">
      <c r="A136" s="65"/>
      <c r="B136" s="65" t="s">
        <v>507</v>
      </c>
      <c r="C136" s="65"/>
      <c r="D136" s="69"/>
      <c r="E136" s="66" t="e">
        <f>+E137+E140+E143+E146</f>
        <v>#REF!</v>
      </c>
      <c r="F136" s="49">
        <f>+F137+F140+F143+F146</f>
        <v>62568</v>
      </c>
      <c r="G136" s="58" t="e">
        <f>+G137+G140+G143+G146</f>
        <v>#REF!</v>
      </c>
      <c r="H136" s="19" t="e">
        <f>+H137+H140+H143+H146</f>
        <v>#REF!</v>
      </c>
    </row>
    <row r="137" spans="1:8" s="17" customFormat="1" ht="15.75" hidden="1" customHeight="1">
      <c r="A137" s="43"/>
      <c r="B137" s="43"/>
      <c r="C137" s="68" t="s">
        <v>508</v>
      </c>
      <c r="D137" s="43"/>
      <c r="E137" s="44" t="e">
        <f t="shared" ref="E137:E148" si="6">SUM(F137:H137)</f>
        <v>#REF!</v>
      </c>
      <c r="F137" s="47">
        <f>+F138-F139</f>
        <v>0</v>
      </c>
      <c r="G137" s="55" t="e">
        <f>+G138-G139</f>
        <v>#REF!</v>
      </c>
      <c r="H137" s="16" t="e">
        <f>+H138-H139</f>
        <v>#REF!</v>
      </c>
    </row>
    <row r="138" spans="1:8" s="17" customFormat="1" ht="15.75" hidden="1" customHeight="1">
      <c r="A138" s="43"/>
      <c r="B138" s="43"/>
      <c r="C138" s="43"/>
      <c r="D138" s="68" t="s">
        <v>182</v>
      </c>
      <c r="E138" s="44" t="e">
        <f t="shared" si="6"/>
        <v>#REF!</v>
      </c>
      <c r="F138" s="47">
        <f>TB!G103</f>
        <v>0</v>
      </c>
      <c r="G138" s="55" t="e">
        <f>[1]Sheet1!K102</f>
        <v>#REF!</v>
      </c>
      <c r="H138" s="16" t="e">
        <f>[1]Sheet1!M102</f>
        <v>#REF!</v>
      </c>
    </row>
    <row r="139" spans="1:8" s="17" customFormat="1" ht="15.75" hidden="1" customHeight="1">
      <c r="A139" s="43"/>
      <c r="B139" s="43"/>
      <c r="C139" s="43"/>
      <c r="D139" s="68" t="s">
        <v>184</v>
      </c>
      <c r="E139" s="44" t="e">
        <f t="shared" si="6"/>
        <v>#REF!</v>
      </c>
      <c r="F139" s="47">
        <f>TB!J104</f>
        <v>0</v>
      </c>
      <c r="G139" s="56" t="e">
        <f>[1]Sheet1!L103</f>
        <v>#REF!</v>
      </c>
      <c r="H139" s="9" t="e">
        <f>[1]Sheet1!N103</f>
        <v>#REF!</v>
      </c>
    </row>
    <row r="140" spans="1:8" s="17" customFormat="1" ht="15.75" hidden="1" customHeight="1">
      <c r="A140" s="43"/>
      <c r="B140" s="43"/>
      <c r="C140" s="68" t="s">
        <v>509</v>
      </c>
      <c r="D140" s="43"/>
      <c r="E140" s="44" t="e">
        <f t="shared" si="6"/>
        <v>#REF!</v>
      </c>
      <c r="F140" s="47">
        <f>+F141-F142</f>
        <v>0</v>
      </c>
      <c r="G140" s="55" t="e">
        <f>+G141-G142</f>
        <v>#REF!</v>
      </c>
      <c r="H140" s="16" t="e">
        <f>+H141-H142</f>
        <v>#REF!</v>
      </c>
    </row>
    <row r="141" spans="1:8" s="17" customFormat="1" ht="15.75" hidden="1" customHeight="1">
      <c r="A141" s="43"/>
      <c r="B141" s="43"/>
      <c r="C141" s="43"/>
      <c r="D141" s="68" t="s">
        <v>186</v>
      </c>
      <c r="E141" s="44" t="e">
        <f t="shared" si="6"/>
        <v>#REF!</v>
      </c>
      <c r="F141" s="47">
        <f>TB!G105</f>
        <v>0</v>
      </c>
      <c r="G141" s="55" t="e">
        <f>[1]Sheet1!K104</f>
        <v>#REF!</v>
      </c>
      <c r="H141" s="16" t="e">
        <f>[1]Sheet1!M104</f>
        <v>#REF!</v>
      </c>
    </row>
    <row r="142" spans="1:8" s="17" customFormat="1" ht="15.75" hidden="1" customHeight="1">
      <c r="A142" s="43"/>
      <c r="B142" s="43"/>
      <c r="C142" s="43"/>
      <c r="D142" s="68" t="s">
        <v>188</v>
      </c>
      <c r="E142" s="44" t="e">
        <f t="shared" si="6"/>
        <v>#REF!</v>
      </c>
      <c r="F142" s="47">
        <f>TB!J106</f>
        <v>0</v>
      </c>
      <c r="G142" s="56" t="e">
        <f>[1]Sheet1!L105</f>
        <v>#REF!</v>
      </c>
      <c r="H142" s="9" t="e">
        <f>[1]Sheet1!N105</f>
        <v>#REF!</v>
      </c>
    </row>
    <row r="143" spans="1:8" s="17" customFormat="1" ht="15.75" hidden="1" customHeight="1">
      <c r="A143" s="43"/>
      <c r="B143" s="43"/>
      <c r="C143" s="68" t="s">
        <v>510</v>
      </c>
      <c r="D143" s="43"/>
      <c r="E143" s="44" t="e">
        <f t="shared" si="6"/>
        <v>#REF!</v>
      </c>
      <c r="F143" s="47">
        <f>+F144-F145</f>
        <v>62568</v>
      </c>
      <c r="G143" s="55" t="e">
        <f>+G144-G145</f>
        <v>#REF!</v>
      </c>
      <c r="H143" s="16" t="e">
        <f>+H144-H145</f>
        <v>#REF!</v>
      </c>
    </row>
    <row r="144" spans="1:8" s="17" customFormat="1" ht="15.75" hidden="1" customHeight="1">
      <c r="A144" s="43"/>
      <c r="B144" s="43"/>
      <c r="C144" s="43"/>
      <c r="D144" s="68" t="s">
        <v>190</v>
      </c>
      <c r="E144" s="44" t="e">
        <f t="shared" si="6"/>
        <v>#REF!</v>
      </c>
      <c r="F144" s="47">
        <f>TB!G107</f>
        <v>62568</v>
      </c>
      <c r="G144" s="55" t="e">
        <f>[1]Sheet1!K106</f>
        <v>#REF!</v>
      </c>
      <c r="H144" s="16" t="e">
        <f>[1]Sheet1!M106</f>
        <v>#REF!</v>
      </c>
    </row>
    <row r="145" spans="1:8" s="17" customFormat="1" ht="15.75" hidden="1" customHeight="1">
      <c r="A145" s="43"/>
      <c r="B145" s="43"/>
      <c r="C145" s="43"/>
      <c r="D145" s="68" t="s">
        <v>192</v>
      </c>
      <c r="E145" s="44" t="e">
        <f t="shared" si="6"/>
        <v>#REF!</v>
      </c>
      <c r="F145" s="47">
        <f>TB!J108</f>
        <v>0</v>
      </c>
      <c r="G145" s="56" t="e">
        <f>[1]Sheet1!L107</f>
        <v>#REF!</v>
      </c>
      <c r="H145" s="9" t="e">
        <f>[1]Sheet1!N107</f>
        <v>#REF!</v>
      </c>
    </row>
    <row r="146" spans="1:8" s="17" customFormat="1" ht="15.75" hidden="1" customHeight="1">
      <c r="A146" s="43"/>
      <c r="B146" s="43"/>
      <c r="C146" s="68" t="s">
        <v>511</v>
      </c>
      <c r="D146" s="43"/>
      <c r="E146" s="44" t="e">
        <f t="shared" si="6"/>
        <v>#REF!</v>
      </c>
      <c r="F146" s="47">
        <f>+F147-F148</f>
        <v>0</v>
      </c>
      <c r="G146" s="55" t="e">
        <f>+G147-G148</f>
        <v>#REF!</v>
      </c>
      <c r="H146" s="16" t="e">
        <f>+H147-H148</f>
        <v>#REF!</v>
      </c>
    </row>
    <row r="147" spans="1:8" s="17" customFormat="1" ht="15.75" hidden="1" customHeight="1">
      <c r="A147" s="43"/>
      <c r="B147" s="43"/>
      <c r="C147" s="43"/>
      <c r="D147" s="68" t="s">
        <v>194</v>
      </c>
      <c r="E147" s="44" t="e">
        <f t="shared" si="6"/>
        <v>#REF!</v>
      </c>
      <c r="F147" s="47">
        <f>TB!G109</f>
        <v>0</v>
      </c>
      <c r="G147" s="55" t="e">
        <f>[1]Sheet1!K108</f>
        <v>#REF!</v>
      </c>
      <c r="H147" s="16" t="e">
        <f>[1]Sheet1!M108</f>
        <v>#REF!</v>
      </c>
    </row>
    <row r="148" spans="1:8" s="17" customFormat="1" ht="15.75" hidden="1" customHeight="1">
      <c r="A148" s="43"/>
      <c r="B148" s="43"/>
      <c r="C148" s="43"/>
      <c r="D148" s="68" t="s">
        <v>196</v>
      </c>
      <c r="E148" s="44" t="e">
        <f t="shared" si="6"/>
        <v>#REF!</v>
      </c>
      <c r="F148" s="47">
        <f>TB!J110</f>
        <v>0</v>
      </c>
      <c r="G148" s="56" t="e">
        <f>[1]Sheet1!L109</f>
        <v>#REF!</v>
      </c>
      <c r="H148" s="9" t="e">
        <f>[1]Sheet1!N109</f>
        <v>#REF!</v>
      </c>
    </row>
    <row r="149" spans="1:8" s="14" customFormat="1" ht="15.75" hidden="1" customHeight="1">
      <c r="A149" s="65"/>
      <c r="B149" s="65" t="s">
        <v>512</v>
      </c>
      <c r="C149" s="65"/>
      <c r="D149" s="69"/>
      <c r="E149" s="67" t="e">
        <f>+E150+E153+E156+E159+E162+E165+E168+E171+E174+E177+E180+E183</f>
        <v>#REF!</v>
      </c>
      <c r="F149" s="74">
        <f>+F150+F153+F156+F159+F162+F165+F168+F171+F174+F177+F180+F183</f>
        <v>0</v>
      </c>
      <c r="G149" s="54" t="e">
        <f>+G150+G153+G156+G159+G162+G165+G168+G171+G174+G177+G180+G183</f>
        <v>#REF!</v>
      </c>
      <c r="H149" s="15" t="e">
        <f>+H150+H153+H156+H159+H162+H165+H168+H171+H174+H177+H180+H183</f>
        <v>#REF!</v>
      </c>
    </row>
    <row r="150" spans="1:8" s="17" customFormat="1" ht="15.75" hidden="1" customHeight="1">
      <c r="A150" s="43"/>
      <c r="B150" s="43"/>
      <c r="C150" s="68" t="s">
        <v>513</v>
      </c>
      <c r="D150" s="43"/>
      <c r="E150" s="44" t="e">
        <f t="shared" ref="E150:E185" si="7">SUM(F150:H150)</f>
        <v>#REF!</v>
      </c>
      <c r="F150" s="47">
        <f>+F151-F152</f>
        <v>0</v>
      </c>
      <c r="G150" s="55" t="e">
        <f>+G151-G152</f>
        <v>#REF!</v>
      </c>
      <c r="H150" s="16" t="e">
        <f>+H151-H152</f>
        <v>#REF!</v>
      </c>
    </row>
    <row r="151" spans="1:8" s="17" customFormat="1" ht="15.75" hidden="1" customHeight="1">
      <c r="A151" s="43"/>
      <c r="B151" s="43"/>
      <c r="C151" s="43"/>
      <c r="D151" s="68" t="s">
        <v>198</v>
      </c>
      <c r="E151" s="44" t="e">
        <f t="shared" si="7"/>
        <v>#REF!</v>
      </c>
      <c r="F151" s="47">
        <f>TB!G111</f>
        <v>0</v>
      </c>
      <c r="G151" s="55" t="e">
        <f>[1]Sheet1!K110</f>
        <v>#REF!</v>
      </c>
      <c r="H151" s="16" t="e">
        <f>[1]Sheet1!M110</f>
        <v>#REF!</v>
      </c>
    </row>
    <row r="152" spans="1:8" s="17" customFormat="1" ht="15.75" hidden="1" customHeight="1">
      <c r="A152" s="43"/>
      <c r="B152" s="43"/>
      <c r="C152" s="43"/>
      <c r="D152" s="68" t="s">
        <v>200</v>
      </c>
      <c r="E152" s="44" t="e">
        <f t="shared" si="7"/>
        <v>#REF!</v>
      </c>
      <c r="F152" s="47">
        <f>TB!J112</f>
        <v>0</v>
      </c>
      <c r="G152" s="56" t="e">
        <f>[1]Sheet1!L111</f>
        <v>#REF!</v>
      </c>
      <c r="H152" s="9" t="e">
        <f>[1]Sheet1!N111</f>
        <v>#REF!</v>
      </c>
    </row>
    <row r="153" spans="1:8" s="17" customFormat="1" ht="15.75" hidden="1" customHeight="1">
      <c r="A153" s="43"/>
      <c r="B153" s="43"/>
      <c r="C153" s="68" t="s">
        <v>514</v>
      </c>
      <c r="D153" s="43"/>
      <c r="E153" s="44" t="e">
        <f t="shared" si="7"/>
        <v>#REF!</v>
      </c>
      <c r="F153" s="47">
        <f>+F154-F155</f>
        <v>0</v>
      </c>
      <c r="G153" s="55" t="e">
        <f>+G154-G155</f>
        <v>#REF!</v>
      </c>
      <c r="H153" s="16" t="e">
        <f>+H154-H155</f>
        <v>#REF!</v>
      </c>
    </row>
    <row r="154" spans="1:8" s="17" customFormat="1" ht="15.75" hidden="1" customHeight="1">
      <c r="A154" s="43"/>
      <c r="B154" s="43"/>
      <c r="C154" s="43"/>
      <c r="D154" s="68" t="s">
        <v>2355</v>
      </c>
      <c r="E154" s="44" t="e">
        <f t="shared" si="7"/>
        <v>#REF!</v>
      </c>
      <c r="F154" s="47">
        <f>TB!G113</f>
        <v>0</v>
      </c>
      <c r="G154" s="55" t="e">
        <f>[1]Sheet1!K112</f>
        <v>#REF!</v>
      </c>
      <c r="H154" s="16" t="e">
        <f>[1]Sheet1!M112</f>
        <v>#REF!</v>
      </c>
    </row>
    <row r="155" spans="1:8" s="17" customFormat="1" ht="15.75" hidden="1" customHeight="1">
      <c r="A155" s="43"/>
      <c r="B155" s="43"/>
      <c r="C155" s="43"/>
      <c r="D155" s="68" t="s">
        <v>2357</v>
      </c>
      <c r="E155" s="44" t="e">
        <f t="shared" si="7"/>
        <v>#REF!</v>
      </c>
      <c r="F155" s="47">
        <f>TB!J114</f>
        <v>0</v>
      </c>
      <c r="G155" s="56" t="e">
        <f>[1]Sheet1!L113</f>
        <v>#REF!</v>
      </c>
      <c r="H155" s="9" t="e">
        <f>[1]Sheet1!N113</f>
        <v>#REF!</v>
      </c>
    </row>
    <row r="156" spans="1:8" s="17" customFormat="1" ht="15.75" hidden="1" customHeight="1">
      <c r="A156" s="43"/>
      <c r="B156" s="43"/>
      <c r="C156" s="68" t="s">
        <v>515</v>
      </c>
      <c r="D156" s="43"/>
      <c r="E156" s="44" t="e">
        <f t="shared" si="7"/>
        <v>#REF!</v>
      </c>
      <c r="F156" s="47">
        <f>+F157-F158</f>
        <v>0</v>
      </c>
      <c r="G156" s="55" t="e">
        <f>+G157-G158</f>
        <v>#REF!</v>
      </c>
      <c r="H156" s="16" t="e">
        <f>+H157-H158</f>
        <v>#REF!</v>
      </c>
    </row>
    <row r="157" spans="1:8" s="17" customFormat="1" ht="15.75" hidden="1" customHeight="1">
      <c r="A157" s="43"/>
      <c r="B157" s="43"/>
      <c r="C157" s="43"/>
      <c r="D157" s="68" t="s">
        <v>2359</v>
      </c>
      <c r="E157" s="44" t="e">
        <f t="shared" si="7"/>
        <v>#REF!</v>
      </c>
      <c r="F157" s="47">
        <f>TB!G115</f>
        <v>0</v>
      </c>
      <c r="G157" s="55" t="e">
        <f>[1]Sheet1!K114</f>
        <v>#REF!</v>
      </c>
      <c r="H157" s="16" t="e">
        <f>[1]Sheet1!M114</f>
        <v>#REF!</v>
      </c>
    </row>
    <row r="158" spans="1:8" s="17" customFormat="1" ht="15.75" hidden="1" customHeight="1">
      <c r="A158" s="43"/>
      <c r="B158" s="43"/>
      <c r="C158" s="43"/>
      <c r="D158" s="68" t="s">
        <v>2361</v>
      </c>
      <c r="E158" s="44" t="e">
        <f t="shared" si="7"/>
        <v>#REF!</v>
      </c>
      <c r="F158" s="47">
        <f>TB!J116</f>
        <v>0</v>
      </c>
      <c r="G158" s="56" t="e">
        <f>[1]Sheet1!L115</f>
        <v>#REF!</v>
      </c>
      <c r="H158" s="9" t="e">
        <f>[1]Sheet1!N115</f>
        <v>#REF!</v>
      </c>
    </row>
    <row r="159" spans="1:8" s="17" customFormat="1" ht="15.75" hidden="1" customHeight="1">
      <c r="A159" s="43"/>
      <c r="B159" s="43"/>
      <c r="C159" s="68" t="s">
        <v>516</v>
      </c>
      <c r="D159" s="43"/>
      <c r="E159" s="44" t="e">
        <f t="shared" si="7"/>
        <v>#REF!</v>
      </c>
      <c r="F159" s="47">
        <f>+F160-F161</f>
        <v>0</v>
      </c>
      <c r="G159" s="55" t="e">
        <f>+G160-G161</f>
        <v>#REF!</v>
      </c>
      <c r="H159" s="16" t="e">
        <f>+H160-H161</f>
        <v>#REF!</v>
      </c>
    </row>
    <row r="160" spans="1:8" s="17" customFormat="1" ht="15.75" hidden="1" customHeight="1">
      <c r="A160" s="43"/>
      <c r="B160" s="43"/>
      <c r="C160" s="43"/>
      <c r="D160" s="68" t="s">
        <v>2363</v>
      </c>
      <c r="E160" s="44" t="e">
        <f t="shared" si="7"/>
        <v>#REF!</v>
      </c>
      <c r="F160" s="47">
        <f>TB!G117</f>
        <v>0</v>
      </c>
      <c r="G160" s="55" t="e">
        <f>[1]Sheet1!K116</f>
        <v>#REF!</v>
      </c>
      <c r="H160" s="16" t="e">
        <f>[1]Sheet1!M116</f>
        <v>#REF!</v>
      </c>
    </row>
    <row r="161" spans="1:8" s="17" customFormat="1" ht="15.75" hidden="1" customHeight="1">
      <c r="A161" s="43"/>
      <c r="B161" s="43"/>
      <c r="C161" s="43"/>
      <c r="D161" s="68" t="s">
        <v>517</v>
      </c>
      <c r="E161" s="44" t="e">
        <f t="shared" si="7"/>
        <v>#REF!</v>
      </c>
      <c r="F161" s="47">
        <f>TB!J118</f>
        <v>0</v>
      </c>
      <c r="G161" s="56" t="e">
        <f>[1]Sheet1!L117</f>
        <v>#REF!</v>
      </c>
      <c r="H161" s="9" t="e">
        <f>[1]Sheet1!N117</f>
        <v>#REF!</v>
      </c>
    </row>
    <row r="162" spans="1:8" s="17" customFormat="1" ht="15.75" hidden="1" customHeight="1">
      <c r="A162" s="43"/>
      <c r="B162" s="43"/>
      <c r="C162" s="68" t="s">
        <v>518</v>
      </c>
      <c r="D162" s="43"/>
      <c r="E162" s="44" t="e">
        <f t="shared" si="7"/>
        <v>#REF!</v>
      </c>
      <c r="F162" s="47">
        <f>+F163-F164</f>
        <v>0</v>
      </c>
      <c r="G162" s="55" t="e">
        <f>+G163-G164</f>
        <v>#REF!</v>
      </c>
      <c r="H162" s="16" t="e">
        <f>+H163-H164</f>
        <v>#REF!</v>
      </c>
    </row>
    <row r="163" spans="1:8" s="17" customFormat="1" ht="15.75" hidden="1" customHeight="1">
      <c r="A163" s="43"/>
      <c r="B163" s="43"/>
      <c r="C163" s="43"/>
      <c r="D163" s="68" t="s">
        <v>2367</v>
      </c>
      <c r="E163" s="44" t="e">
        <f t="shared" si="7"/>
        <v>#REF!</v>
      </c>
      <c r="F163" s="47">
        <f>TB!G119</f>
        <v>0</v>
      </c>
      <c r="G163" s="55" t="e">
        <f>[1]Sheet1!K118</f>
        <v>#REF!</v>
      </c>
      <c r="H163" s="16" t="e">
        <f>[1]Sheet1!M118</f>
        <v>#REF!</v>
      </c>
    </row>
    <row r="164" spans="1:8" s="17" customFormat="1" ht="15.75" hidden="1" customHeight="1">
      <c r="A164" s="43"/>
      <c r="B164" s="43"/>
      <c r="C164" s="43"/>
      <c r="D164" s="68" t="s">
        <v>2522</v>
      </c>
      <c r="E164" s="44" t="e">
        <f t="shared" si="7"/>
        <v>#REF!</v>
      </c>
      <c r="F164" s="47">
        <f>TB!J120</f>
        <v>0</v>
      </c>
      <c r="G164" s="56" t="e">
        <f>[1]Sheet1!L119</f>
        <v>#REF!</v>
      </c>
      <c r="H164" s="9" t="e">
        <f>[1]Sheet1!N119</f>
        <v>#REF!</v>
      </c>
    </row>
    <row r="165" spans="1:8" s="17" customFormat="1" ht="15.75" hidden="1" customHeight="1">
      <c r="A165" s="43"/>
      <c r="B165" s="43"/>
      <c r="C165" s="68" t="s">
        <v>519</v>
      </c>
      <c r="D165" s="43"/>
      <c r="E165" s="44" t="e">
        <f t="shared" si="7"/>
        <v>#REF!</v>
      </c>
      <c r="F165" s="47">
        <f>+F166-F167</f>
        <v>0</v>
      </c>
      <c r="G165" s="55" t="e">
        <f>+G166-G167</f>
        <v>#REF!</v>
      </c>
      <c r="H165" s="16" t="e">
        <f>+H166-H167</f>
        <v>#REF!</v>
      </c>
    </row>
    <row r="166" spans="1:8" s="17" customFormat="1" ht="15.75" hidden="1" customHeight="1">
      <c r="A166" s="43"/>
      <c r="B166" s="43"/>
      <c r="C166" s="43"/>
      <c r="D166" s="68" t="s">
        <v>2524</v>
      </c>
      <c r="E166" s="44" t="e">
        <f t="shared" si="7"/>
        <v>#REF!</v>
      </c>
      <c r="F166" s="47">
        <f>TB!G121</f>
        <v>0</v>
      </c>
      <c r="G166" s="55" t="e">
        <f>[1]Sheet1!K120</f>
        <v>#REF!</v>
      </c>
      <c r="H166" s="16" t="e">
        <f>[1]Sheet1!M120</f>
        <v>#REF!</v>
      </c>
    </row>
    <row r="167" spans="1:8" s="17" customFormat="1" ht="15.75" hidden="1" customHeight="1">
      <c r="A167" s="43"/>
      <c r="B167" s="43"/>
      <c r="C167" s="43"/>
      <c r="D167" s="68" t="s">
        <v>2526</v>
      </c>
      <c r="E167" s="44" t="e">
        <f t="shared" si="7"/>
        <v>#REF!</v>
      </c>
      <c r="F167" s="47">
        <f>TB!J122</f>
        <v>0</v>
      </c>
      <c r="G167" s="56" t="e">
        <f>[1]Sheet1!L121</f>
        <v>#REF!</v>
      </c>
      <c r="H167" s="9" t="e">
        <f>[1]Sheet1!N121</f>
        <v>#REF!</v>
      </c>
    </row>
    <row r="168" spans="1:8" s="17" customFormat="1" ht="15.75" hidden="1" customHeight="1">
      <c r="A168" s="43"/>
      <c r="B168" s="43"/>
      <c r="C168" s="68" t="s">
        <v>520</v>
      </c>
      <c r="D168" s="43"/>
      <c r="E168" s="44" t="e">
        <f t="shared" si="7"/>
        <v>#REF!</v>
      </c>
      <c r="F168" s="47">
        <f>+F169-F170</f>
        <v>0</v>
      </c>
      <c r="G168" s="55" t="e">
        <f>+G169-G170</f>
        <v>#REF!</v>
      </c>
      <c r="H168" s="16" t="e">
        <f>+H169-H170</f>
        <v>#REF!</v>
      </c>
    </row>
    <row r="169" spans="1:8" s="17" customFormat="1" ht="15.75" hidden="1" customHeight="1">
      <c r="A169" s="43"/>
      <c r="B169" s="43"/>
      <c r="C169" s="43"/>
      <c r="D169" s="68" t="s">
        <v>2528</v>
      </c>
      <c r="E169" s="44" t="e">
        <f t="shared" si="7"/>
        <v>#REF!</v>
      </c>
      <c r="F169" s="47">
        <f>TB!G123</f>
        <v>0</v>
      </c>
      <c r="G169" s="55" t="e">
        <f>[1]Sheet1!K122</f>
        <v>#REF!</v>
      </c>
      <c r="H169" s="16" t="e">
        <f>[1]Sheet1!M122</f>
        <v>#REF!</v>
      </c>
    </row>
    <row r="170" spans="1:8" s="17" customFormat="1" ht="15.75" hidden="1" customHeight="1">
      <c r="A170" s="43"/>
      <c r="B170" s="43"/>
      <c r="C170" s="43"/>
      <c r="D170" s="68" t="s">
        <v>2530</v>
      </c>
      <c r="E170" s="44" t="e">
        <f t="shared" si="7"/>
        <v>#REF!</v>
      </c>
      <c r="F170" s="47">
        <f>TB!J124</f>
        <v>0</v>
      </c>
      <c r="G170" s="56" t="e">
        <f>[1]Sheet1!L123</f>
        <v>#REF!</v>
      </c>
      <c r="H170" s="9" t="e">
        <f>[1]Sheet1!N123</f>
        <v>#REF!</v>
      </c>
    </row>
    <row r="171" spans="1:8" s="17" customFormat="1" ht="15.75" hidden="1" customHeight="1">
      <c r="A171" s="43"/>
      <c r="B171" s="43"/>
      <c r="C171" s="68" t="s">
        <v>1408</v>
      </c>
      <c r="D171" s="43"/>
      <c r="E171" s="44" t="e">
        <f t="shared" si="7"/>
        <v>#REF!</v>
      </c>
      <c r="F171" s="47">
        <f>+F172-F173</f>
        <v>0</v>
      </c>
      <c r="G171" s="55" t="e">
        <f>+G172-G173</f>
        <v>#REF!</v>
      </c>
      <c r="H171" s="16" t="e">
        <f>+H172-H173</f>
        <v>#REF!</v>
      </c>
    </row>
    <row r="172" spans="1:8" s="17" customFormat="1" ht="15.75" hidden="1" customHeight="1">
      <c r="A172" s="43"/>
      <c r="B172" s="43"/>
      <c r="C172" s="43"/>
      <c r="D172" s="68" t="s">
        <v>2532</v>
      </c>
      <c r="E172" s="44" t="e">
        <f t="shared" si="7"/>
        <v>#REF!</v>
      </c>
      <c r="F172" s="47">
        <f>TB!G125</f>
        <v>0</v>
      </c>
      <c r="G172" s="55" t="e">
        <f>[1]Sheet1!K124</f>
        <v>#REF!</v>
      </c>
      <c r="H172" s="16" t="e">
        <f>[1]Sheet1!M124</f>
        <v>#REF!</v>
      </c>
    </row>
    <row r="173" spans="1:8" s="17" customFormat="1" ht="24" hidden="1" customHeight="1">
      <c r="A173" s="43"/>
      <c r="B173" s="43"/>
      <c r="C173" s="43"/>
      <c r="D173" s="73" t="s">
        <v>1475</v>
      </c>
      <c r="E173" s="44" t="e">
        <f t="shared" si="7"/>
        <v>#REF!</v>
      </c>
      <c r="F173" s="47">
        <f>TB!J126</f>
        <v>0</v>
      </c>
      <c r="G173" s="56" t="e">
        <f>[1]Sheet1!L125</f>
        <v>#REF!</v>
      </c>
      <c r="H173" s="9" t="e">
        <f>[1]Sheet1!N125</f>
        <v>#REF!</v>
      </c>
    </row>
    <row r="174" spans="1:8" s="17" customFormat="1" ht="15.75" hidden="1" customHeight="1">
      <c r="A174" s="43"/>
      <c r="B174" s="43"/>
      <c r="C174" s="68" t="s">
        <v>2219</v>
      </c>
      <c r="D174" s="43"/>
      <c r="E174" s="44" t="e">
        <f t="shared" si="7"/>
        <v>#REF!</v>
      </c>
      <c r="F174" s="47">
        <f>+F175-F176</f>
        <v>0</v>
      </c>
      <c r="G174" s="55" t="e">
        <f>+G175-G176</f>
        <v>#REF!</v>
      </c>
      <c r="H174" s="16" t="e">
        <f>+H175-H176</f>
        <v>#REF!</v>
      </c>
    </row>
    <row r="175" spans="1:8" s="17" customFormat="1" ht="15.75" hidden="1" customHeight="1">
      <c r="A175" s="43"/>
      <c r="B175" s="43"/>
      <c r="C175" s="43"/>
      <c r="D175" s="68" t="s">
        <v>1477</v>
      </c>
      <c r="E175" s="44" t="e">
        <f t="shared" si="7"/>
        <v>#REF!</v>
      </c>
      <c r="F175" s="47">
        <f>TB!G127</f>
        <v>0</v>
      </c>
      <c r="G175" s="55" t="e">
        <f>[1]Sheet1!K126</f>
        <v>#REF!</v>
      </c>
      <c r="H175" s="16" t="e">
        <f>[1]Sheet1!M126</f>
        <v>#REF!</v>
      </c>
    </row>
    <row r="176" spans="1:8" s="17" customFormat="1" ht="15.75" hidden="1" customHeight="1">
      <c r="A176" s="43"/>
      <c r="B176" s="43"/>
      <c r="C176" s="43"/>
      <c r="D176" s="68" t="s">
        <v>1479</v>
      </c>
      <c r="E176" s="44" t="e">
        <f t="shared" si="7"/>
        <v>#REF!</v>
      </c>
      <c r="F176" s="47">
        <f>TB!J128</f>
        <v>0</v>
      </c>
      <c r="G176" s="56" t="e">
        <f>[1]Sheet1!L127</f>
        <v>#REF!</v>
      </c>
      <c r="H176" s="9" t="e">
        <f>[1]Sheet1!N127</f>
        <v>#REF!</v>
      </c>
    </row>
    <row r="177" spans="1:8" s="17" customFormat="1" ht="15.75" hidden="1" customHeight="1">
      <c r="A177" s="43"/>
      <c r="B177" s="43"/>
      <c r="C177" s="68" t="s">
        <v>2220</v>
      </c>
      <c r="D177" s="43"/>
      <c r="E177" s="44" t="e">
        <f t="shared" si="7"/>
        <v>#REF!</v>
      </c>
      <c r="F177" s="47">
        <f>+F178-F179</f>
        <v>0</v>
      </c>
      <c r="G177" s="55" t="e">
        <f>+G178-G179</f>
        <v>#REF!</v>
      </c>
      <c r="H177" s="16" t="e">
        <f>+H178-H179</f>
        <v>#REF!</v>
      </c>
    </row>
    <row r="178" spans="1:8" s="17" customFormat="1" ht="15.75" hidden="1" customHeight="1">
      <c r="A178" s="43"/>
      <c r="B178" s="43"/>
      <c r="C178" s="43"/>
      <c r="D178" s="68" t="s">
        <v>1481</v>
      </c>
      <c r="E178" s="44" t="e">
        <f t="shared" si="7"/>
        <v>#REF!</v>
      </c>
      <c r="F178" s="47">
        <f>TB!G129</f>
        <v>0</v>
      </c>
      <c r="G178" s="55" t="e">
        <f>[1]Sheet1!K128</f>
        <v>#REF!</v>
      </c>
      <c r="H178" s="16" t="e">
        <f>[1]Sheet1!M128</f>
        <v>#REF!</v>
      </c>
    </row>
    <row r="179" spans="1:8" s="17" customFormat="1" ht="15.75" hidden="1" customHeight="1">
      <c r="A179" s="43"/>
      <c r="B179" s="43"/>
      <c r="C179" s="43"/>
      <c r="D179" s="68" t="s">
        <v>1483</v>
      </c>
      <c r="E179" s="44" t="e">
        <f t="shared" si="7"/>
        <v>#REF!</v>
      </c>
      <c r="F179" s="47">
        <f>TB!J130</f>
        <v>0</v>
      </c>
      <c r="G179" s="56" t="e">
        <f>[1]Sheet1!L129</f>
        <v>#REF!</v>
      </c>
      <c r="H179" s="9" t="e">
        <f>[1]Sheet1!N129</f>
        <v>#REF!</v>
      </c>
    </row>
    <row r="180" spans="1:8" s="17" customFormat="1" ht="15.75" hidden="1" customHeight="1">
      <c r="A180" s="43"/>
      <c r="B180" s="43"/>
      <c r="C180" s="68" t="s">
        <v>2221</v>
      </c>
      <c r="D180" s="43"/>
      <c r="E180" s="44" t="e">
        <f t="shared" si="7"/>
        <v>#REF!</v>
      </c>
      <c r="F180" s="47">
        <f>+F181-F182</f>
        <v>0</v>
      </c>
      <c r="G180" s="55" t="e">
        <f>+G181-G182</f>
        <v>#REF!</v>
      </c>
      <c r="H180" s="16" t="e">
        <f>+H181-H182</f>
        <v>#REF!</v>
      </c>
    </row>
    <row r="181" spans="1:8" s="17" customFormat="1" ht="15.75" hidden="1" customHeight="1">
      <c r="A181" s="43"/>
      <c r="B181" s="43"/>
      <c r="C181" s="43"/>
      <c r="D181" s="68" t="s">
        <v>1485</v>
      </c>
      <c r="E181" s="44" t="e">
        <f t="shared" si="7"/>
        <v>#REF!</v>
      </c>
      <c r="F181" s="47">
        <f>TB!G131</f>
        <v>0</v>
      </c>
      <c r="G181" s="55" t="e">
        <f>[1]Sheet1!K130</f>
        <v>#REF!</v>
      </c>
      <c r="H181" s="16" t="e">
        <f>[1]Sheet1!M130</f>
        <v>#REF!</v>
      </c>
    </row>
    <row r="182" spans="1:8" s="17" customFormat="1" ht="15.75" hidden="1" customHeight="1">
      <c r="A182" s="43"/>
      <c r="B182" s="43"/>
      <c r="C182" s="43"/>
      <c r="D182" s="68" t="s">
        <v>8</v>
      </c>
      <c r="E182" s="44" t="e">
        <f t="shared" si="7"/>
        <v>#REF!</v>
      </c>
      <c r="F182" s="47">
        <f>TB!J132</f>
        <v>0</v>
      </c>
      <c r="G182" s="56" t="e">
        <f>[1]Sheet1!L131</f>
        <v>#REF!</v>
      </c>
      <c r="H182" s="9" t="e">
        <f>[1]Sheet1!N131</f>
        <v>#REF!</v>
      </c>
    </row>
    <row r="183" spans="1:8" s="17" customFormat="1" ht="15.75" hidden="1" customHeight="1">
      <c r="A183" s="43"/>
      <c r="B183" s="43"/>
      <c r="C183" s="68" t="s">
        <v>2222</v>
      </c>
      <c r="D183" s="43"/>
      <c r="E183" s="44" t="e">
        <f t="shared" si="7"/>
        <v>#REF!</v>
      </c>
      <c r="F183" s="47">
        <f>+F184-F185</f>
        <v>0</v>
      </c>
      <c r="G183" s="55" t="e">
        <f>+G184-G185</f>
        <v>#REF!</v>
      </c>
      <c r="H183" s="16" t="e">
        <f>+H184-H185</f>
        <v>#REF!</v>
      </c>
    </row>
    <row r="184" spans="1:8" s="17" customFormat="1" ht="15.75" hidden="1" customHeight="1">
      <c r="A184" s="43"/>
      <c r="B184" s="43"/>
      <c r="C184" s="43"/>
      <c r="D184" s="68" t="s">
        <v>2098</v>
      </c>
      <c r="E184" s="44" t="e">
        <f t="shared" si="7"/>
        <v>#REF!</v>
      </c>
      <c r="F184" s="47">
        <f>TB!G133</f>
        <v>0</v>
      </c>
      <c r="G184" s="55" t="e">
        <f>[1]Sheet1!K132</f>
        <v>#REF!</v>
      </c>
      <c r="H184" s="16" t="e">
        <f>[1]Sheet1!M132</f>
        <v>#REF!</v>
      </c>
    </row>
    <row r="185" spans="1:8" s="17" customFormat="1" ht="15.75" hidden="1" customHeight="1">
      <c r="A185" s="43"/>
      <c r="B185" s="43"/>
      <c r="C185" s="43"/>
      <c r="D185" s="68" t="s">
        <v>2278</v>
      </c>
      <c r="E185" s="44" t="e">
        <f t="shared" si="7"/>
        <v>#REF!</v>
      </c>
      <c r="F185" s="47">
        <f>TB!J134</f>
        <v>0</v>
      </c>
      <c r="G185" s="56" t="e">
        <f>[1]Sheet1!L133</f>
        <v>#REF!</v>
      </c>
      <c r="H185" s="9" t="e">
        <f>[1]Sheet1!N133</f>
        <v>#REF!</v>
      </c>
    </row>
    <row r="186" spans="1:8" s="14" customFormat="1" ht="15.75" hidden="1" customHeight="1">
      <c r="A186" s="65"/>
      <c r="B186" s="65" t="s">
        <v>2261</v>
      </c>
      <c r="C186" s="65"/>
      <c r="D186" s="69"/>
      <c r="E186" s="67" t="e">
        <f>+E187+E190+E193+E196+E199</f>
        <v>#REF!</v>
      </c>
      <c r="F186" s="74">
        <f>+F187+F190+F193+F196+F199</f>
        <v>0</v>
      </c>
      <c r="G186" s="54" t="e">
        <f>+G187+G190+G193+G196+G199</f>
        <v>#REF!</v>
      </c>
      <c r="H186" s="15" t="e">
        <f>+H187+H190+H193+H196+H199</f>
        <v>#REF!</v>
      </c>
    </row>
    <row r="187" spans="1:8" s="17" customFormat="1" ht="15.75" hidden="1" customHeight="1">
      <c r="A187" s="43"/>
      <c r="B187" s="43"/>
      <c r="C187" s="68" t="s">
        <v>2262</v>
      </c>
      <c r="D187" s="43"/>
      <c r="E187" s="44" t="e">
        <f t="shared" ref="E187:E201" si="8">SUM(F187:H187)</f>
        <v>#REF!</v>
      </c>
      <c r="F187" s="47">
        <f>+F188-F189</f>
        <v>0</v>
      </c>
      <c r="G187" s="55" t="e">
        <f>+G188-G189</f>
        <v>#REF!</v>
      </c>
      <c r="H187" s="16" t="e">
        <f>+H188-H189</f>
        <v>#REF!</v>
      </c>
    </row>
    <row r="188" spans="1:8" s="17" customFormat="1" ht="15.75" hidden="1" customHeight="1">
      <c r="A188" s="43"/>
      <c r="B188" s="43"/>
      <c r="C188" s="43"/>
      <c r="D188" s="68" t="s">
        <v>2102</v>
      </c>
      <c r="E188" s="44" t="e">
        <f t="shared" si="8"/>
        <v>#REF!</v>
      </c>
      <c r="F188" s="47">
        <f>TB!G135</f>
        <v>0</v>
      </c>
      <c r="G188" s="55" t="e">
        <f>[1]Sheet1!K134</f>
        <v>#REF!</v>
      </c>
      <c r="H188" s="16" t="e">
        <f>[1]Sheet1!M134</f>
        <v>#REF!</v>
      </c>
    </row>
    <row r="189" spans="1:8" s="17" customFormat="1" ht="15.75" hidden="1" customHeight="1">
      <c r="A189" s="43"/>
      <c r="B189" s="43"/>
      <c r="C189" s="43"/>
      <c r="D189" s="68" t="s">
        <v>2104</v>
      </c>
      <c r="E189" s="44" t="e">
        <f t="shared" si="8"/>
        <v>#REF!</v>
      </c>
      <c r="F189" s="47">
        <f>TB!J136</f>
        <v>0</v>
      </c>
      <c r="G189" s="56" t="e">
        <f>[1]Sheet1!L135</f>
        <v>#REF!</v>
      </c>
      <c r="H189" s="9" t="e">
        <f>[1]Sheet1!N135</f>
        <v>#REF!</v>
      </c>
    </row>
    <row r="190" spans="1:8" s="17" customFormat="1" ht="15.75" hidden="1" customHeight="1">
      <c r="A190" s="43"/>
      <c r="B190" s="43"/>
      <c r="C190" s="68" t="s">
        <v>2263</v>
      </c>
      <c r="D190" s="43"/>
      <c r="E190" s="44" t="e">
        <f t="shared" si="8"/>
        <v>#REF!</v>
      </c>
      <c r="F190" s="47">
        <f>+F191-F192</f>
        <v>0</v>
      </c>
      <c r="G190" s="55" t="e">
        <f>+G191-G192</f>
        <v>#REF!</v>
      </c>
      <c r="H190" s="16" t="e">
        <f>+H191-H192</f>
        <v>#REF!</v>
      </c>
    </row>
    <row r="191" spans="1:8" s="17" customFormat="1" ht="15.75" hidden="1" customHeight="1">
      <c r="A191" s="43"/>
      <c r="B191" s="43"/>
      <c r="C191" s="43"/>
      <c r="D191" s="68" t="s">
        <v>2106</v>
      </c>
      <c r="E191" s="44" t="e">
        <f t="shared" si="8"/>
        <v>#REF!</v>
      </c>
      <c r="F191" s="47">
        <f>TB!G137</f>
        <v>0</v>
      </c>
      <c r="G191" s="55" t="e">
        <f>[1]Sheet1!K136</f>
        <v>#REF!</v>
      </c>
      <c r="H191" s="16" t="e">
        <f>[1]Sheet1!M136</f>
        <v>#REF!</v>
      </c>
    </row>
    <row r="192" spans="1:8" s="17" customFormat="1" ht="15.75" hidden="1" customHeight="1">
      <c r="A192" s="43"/>
      <c r="B192" s="43"/>
      <c r="C192" s="43"/>
      <c r="D192" s="68" t="s">
        <v>2108</v>
      </c>
      <c r="E192" s="44" t="e">
        <f t="shared" si="8"/>
        <v>#REF!</v>
      </c>
      <c r="F192" s="47">
        <f>TB!J138</f>
        <v>0</v>
      </c>
      <c r="G192" s="56" t="e">
        <f>[1]Sheet1!L137</f>
        <v>#REF!</v>
      </c>
      <c r="H192" s="9" t="e">
        <f>[1]Sheet1!N137</f>
        <v>#REF!</v>
      </c>
    </row>
    <row r="193" spans="1:8" s="17" customFormat="1" ht="15.75" hidden="1" customHeight="1">
      <c r="A193" s="43"/>
      <c r="B193" s="43"/>
      <c r="C193" s="68" t="s">
        <v>586</v>
      </c>
      <c r="D193" s="43"/>
      <c r="E193" s="44" t="e">
        <f t="shared" si="8"/>
        <v>#REF!</v>
      </c>
      <c r="F193" s="47">
        <f>+F194-F195</f>
        <v>0</v>
      </c>
      <c r="G193" s="55" t="e">
        <f>+G194-G195</f>
        <v>#REF!</v>
      </c>
      <c r="H193" s="16" t="e">
        <f>+H194-H195</f>
        <v>#REF!</v>
      </c>
    </row>
    <row r="194" spans="1:8" s="17" customFormat="1" ht="15.75" hidden="1" customHeight="1">
      <c r="A194" s="43"/>
      <c r="B194" s="43"/>
      <c r="C194" s="43"/>
      <c r="D194" s="68" t="s">
        <v>768</v>
      </c>
      <c r="E194" s="44" t="e">
        <f t="shared" si="8"/>
        <v>#REF!</v>
      </c>
      <c r="F194" s="47">
        <f>TB!G139</f>
        <v>0</v>
      </c>
      <c r="G194" s="55" t="e">
        <f>[1]Sheet1!K138</f>
        <v>#REF!</v>
      </c>
      <c r="H194" s="16" t="e">
        <f>[1]Sheet1!M138</f>
        <v>#REF!</v>
      </c>
    </row>
    <row r="195" spans="1:8" s="17" customFormat="1" ht="15.75" hidden="1" customHeight="1">
      <c r="A195" s="43"/>
      <c r="B195" s="43"/>
      <c r="C195" s="43"/>
      <c r="D195" s="68" t="s">
        <v>770</v>
      </c>
      <c r="E195" s="44" t="e">
        <f t="shared" si="8"/>
        <v>#REF!</v>
      </c>
      <c r="F195" s="47">
        <f>TB!J140</f>
        <v>0</v>
      </c>
      <c r="G195" s="56" t="e">
        <f>[1]Sheet1!L139</f>
        <v>#REF!</v>
      </c>
      <c r="H195" s="9" t="e">
        <f>[1]Sheet1!N139</f>
        <v>#REF!</v>
      </c>
    </row>
    <row r="196" spans="1:8" s="17" customFormat="1" ht="15.75" hidden="1" customHeight="1">
      <c r="A196" s="43"/>
      <c r="B196" s="43"/>
      <c r="C196" s="68" t="s">
        <v>587</v>
      </c>
      <c r="D196" s="43"/>
      <c r="E196" s="44" t="e">
        <f t="shared" si="8"/>
        <v>#REF!</v>
      </c>
      <c r="F196" s="47">
        <f>+F197-F198</f>
        <v>0</v>
      </c>
      <c r="G196" s="55" t="e">
        <f>+G197-G198</f>
        <v>#REF!</v>
      </c>
      <c r="H196" s="16" t="e">
        <f>+H197-H198</f>
        <v>#REF!</v>
      </c>
    </row>
    <row r="197" spans="1:8" s="17" customFormat="1" ht="15" hidden="1" customHeight="1">
      <c r="A197" s="43"/>
      <c r="B197" s="43"/>
      <c r="C197" s="43"/>
      <c r="D197" s="68" t="s">
        <v>772</v>
      </c>
      <c r="E197" s="44" t="e">
        <f t="shared" si="8"/>
        <v>#REF!</v>
      </c>
      <c r="F197" s="47">
        <f>TB!G141</f>
        <v>0</v>
      </c>
      <c r="G197" s="55" t="e">
        <f>[1]Sheet1!K140</f>
        <v>#REF!</v>
      </c>
      <c r="H197" s="16" t="e">
        <f>[1]Sheet1!M140</f>
        <v>#REF!</v>
      </c>
    </row>
    <row r="198" spans="1:8" s="17" customFormat="1" ht="15.75" hidden="1" customHeight="1">
      <c r="A198" s="43"/>
      <c r="B198" s="43"/>
      <c r="C198" s="43"/>
      <c r="D198" s="68" t="s">
        <v>774</v>
      </c>
      <c r="E198" s="44" t="e">
        <f t="shared" si="8"/>
        <v>#REF!</v>
      </c>
      <c r="F198" s="47">
        <f>TB!J142</f>
        <v>0</v>
      </c>
      <c r="G198" s="56" t="e">
        <f>[1]Sheet1!L141</f>
        <v>#REF!</v>
      </c>
      <c r="H198" s="9" t="e">
        <f>[1]Sheet1!N141</f>
        <v>#REF!</v>
      </c>
    </row>
    <row r="199" spans="1:8" s="17" customFormat="1" ht="15.75" hidden="1" customHeight="1">
      <c r="A199" s="43"/>
      <c r="B199" s="43"/>
      <c r="C199" s="68" t="s">
        <v>588</v>
      </c>
      <c r="D199" s="43"/>
      <c r="E199" s="44" t="e">
        <f t="shared" si="8"/>
        <v>#REF!</v>
      </c>
      <c r="F199" s="47">
        <f>+F200-F201</f>
        <v>0</v>
      </c>
      <c r="G199" s="55" t="e">
        <f>+G200-G201</f>
        <v>#REF!</v>
      </c>
      <c r="H199" s="16" t="e">
        <f>+H200-H201</f>
        <v>#REF!</v>
      </c>
    </row>
    <row r="200" spans="1:8" s="17" customFormat="1" ht="15.75" hidden="1" customHeight="1">
      <c r="A200" s="43"/>
      <c r="B200" s="43"/>
      <c r="C200" s="43"/>
      <c r="D200" s="68" t="s">
        <v>776</v>
      </c>
      <c r="E200" s="44" t="e">
        <f t="shared" si="8"/>
        <v>#REF!</v>
      </c>
      <c r="F200" s="47">
        <f>TB!G143</f>
        <v>0</v>
      </c>
      <c r="G200" s="55" t="e">
        <f>[1]Sheet1!K142</f>
        <v>#REF!</v>
      </c>
      <c r="H200" s="16" t="e">
        <f>[1]Sheet1!M142</f>
        <v>#REF!</v>
      </c>
    </row>
    <row r="201" spans="1:8" s="17" customFormat="1" ht="15.75" hidden="1" customHeight="1">
      <c r="A201" s="43"/>
      <c r="B201" s="43"/>
      <c r="C201" s="43"/>
      <c r="D201" s="68" t="s">
        <v>1523</v>
      </c>
      <c r="E201" s="44" t="e">
        <f t="shared" si="8"/>
        <v>#REF!</v>
      </c>
      <c r="F201" s="47">
        <f>TB!J144</f>
        <v>0</v>
      </c>
      <c r="G201" s="56" t="e">
        <f>[1]Sheet1!L143</f>
        <v>#REF!</v>
      </c>
      <c r="H201" s="9" t="e">
        <f>[1]Sheet1!N143</f>
        <v>#REF!</v>
      </c>
    </row>
    <row r="202" spans="1:8" s="14" customFormat="1" ht="15.75" hidden="1" customHeight="1">
      <c r="A202" s="65"/>
      <c r="B202" s="65" t="s">
        <v>589</v>
      </c>
      <c r="C202" s="65"/>
      <c r="D202" s="69"/>
      <c r="E202" s="67" t="e">
        <f>+E204-E205</f>
        <v>#REF!</v>
      </c>
      <c r="F202" s="74">
        <f>+F203</f>
        <v>0</v>
      </c>
      <c r="G202" s="54" t="e">
        <f>+G203</f>
        <v>#REF!</v>
      </c>
      <c r="H202" s="15" t="e">
        <f>+H203</f>
        <v>#REF!</v>
      </c>
    </row>
    <row r="203" spans="1:8" s="17" customFormat="1" ht="15.75" hidden="1" customHeight="1">
      <c r="A203" s="43"/>
      <c r="B203" s="43"/>
      <c r="C203" s="68" t="s">
        <v>590</v>
      </c>
      <c r="D203" s="43"/>
      <c r="E203" s="44" t="e">
        <f>SUM(F203:H203)</f>
        <v>#REF!</v>
      </c>
      <c r="F203" s="47">
        <f>+F204-F205</f>
        <v>0</v>
      </c>
      <c r="G203" s="55" t="e">
        <f>+G204-G205</f>
        <v>#REF!</v>
      </c>
      <c r="H203" s="16" t="e">
        <f>+H204-H205</f>
        <v>#REF!</v>
      </c>
    </row>
    <row r="204" spans="1:8" s="17" customFormat="1" ht="15.75" hidden="1" customHeight="1">
      <c r="A204" s="43"/>
      <c r="B204" s="43"/>
      <c r="C204" s="43"/>
      <c r="D204" s="68" t="s">
        <v>1525</v>
      </c>
      <c r="E204" s="44" t="e">
        <f>SUM(F204:H204)</f>
        <v>#REF!</v>
      </c>
      <c r="F204" s="47">
        <f>TB!G145</f>
        <v>0</v>
      </c>
      <c r="G204" s="55" t="e">
        <f>[1]Sheet1!K144</f>
        <v>#REF!</v>
      </c>
      <c r="H204" s="16" t="e">
        <f>[1]Sheet1!M144</f>
        <v>#REF!</v>
      </c>
    </row>
    <row r="205" spans="1:8" s="17" customFormat="1" ht="15.75" hidden="1" customHeight="1">
      <c r="A205" s="43"/>
      <c r="B205" s="43"/>
      <c r="C205" s="43"/>
      <c r="D205" s="68" t="s">
        <v>1527</v>
      </c>
      <c r="E205" s="44" t="e">
        <f>SUM(F205:H205)</f>
        <v>#REF!</v>
      </c>
      <c r="F205" s="47">
        <f>TB!J146</f>
        <v>0</v>
      </c>
      <c r="G205" s="56" t="e">
        <f>[1]Sheet1!L145</f>
        <v>#REF!</v>
      </c>
      <c r="H205" s="9" t="e">
        <f>[1]Sheet1!N145</f>
        <v>#REF!</v>
      </c>
    </row>
    <row r="206" spans="1:8" s="17" customFormat="1" ht="15.75" hidden="1" customHeight="1">
      <c r="A206" s="43"/>
      <c r="B206" s="65" t="s">
        <v>591</v>
      </c>
      <c r="C206" s="43"/>
      <c r="D206" s="68"/>
      <c r="E206" s="67" t="e">
        <f>E207</f>
        <v>#REF!</v>
      </c>
      <c r="F206" s="74">
        <f>+F207+F208</f>
        <v>0</v>
      </c>
      <c r="G206" s="59" t="e">
        <f>G207</f>
        <v>#REF!</v>
      </c>
      <c r="H206" s="20" t="e">
        <f>H207</f>
        <v>#REF!</v>
      </c>
    </row>
    <row r="207" spans="1:8" s="17" customFormat="1" ht="15.75" hidden="1" customHeight="1">
      <c r="A207" s="43"/>
      <c r="B207" s="43"/>
      <c r="C207" s="43" t="s">
        <v>592</v>
      </c>
      <c r="D207" s="68"/>
      <c r="E207" s="72" t="e">
        <f>SUM(F207:H207)</f>
        <v>#REF!</v>
      </c>
      <c r="F207" s="47">
        <f>TB!G147</f>
        <v>0</v>
      </c>
      <c r="G207" s="60" t="e">
        <f>SUM([1]Sheet1!K146:K153)</f>
        <v>#REF!</v>
      </c>
      <c r="H207" s="8" t="e">
        <f>SUM([1]Sheet1!M146:M153)</f>
        <v>#REF!</v>
      </c>
    </row>
    <row r="208" spans="1:8" s="17" customFormat="1" ht="15.75" hidden="1" customHeight="1">
      <c r="A208" s="43"/>
      <c r="B208" s="43"/>
      <c r="C208" s="43" t="s">
        <v>593</v>
      </c>
      <c r="D208" s="68"/>
      <c r="E208" s="72"/>
      <c r="F208" s="47">
        <f>TB!G150</f>
        <v>0</v>
      </c>
      <c r="G208" s="60"/>
      <c r="H208" s="8"/>
    </row>
    <row r="209" spans="1:8" s="14" customFormat="1" ht="15.75" customHeight="1">
      <c r="A209" s="65"/>
      <c r="B209" s="65" t="s">
        <v>594</v>
      </c>
      <c r="C209" s="65"/>
      <c r="D209" s="69"/>
      <c r="E209" s="67" t="e">
        <f>+E210+E211</f>
        <v>#REF!</v>
      </c>
      <c r="F209" s="74">
        <f>+F210+F211</f>
        <v>0</v>
      </c>
      <c r="G209" s="54" t="e">
        <f>+G210+G211</f>
        <v>#REF!</v>
      </c>
      <c r="H209" s="15" t="e">
        <f>+H210+H211</f>
        <v>#REF!</v>
      </c>
    </row>
    <row r="210" spans="1:8" s="21" customFormat="1" ht="15.75" hidden="1" customHeight="1">
      <c r="A210" s="43"/>
      <c r="B210" s="43"/>
      <c r="C210" s="69" t="s">
        <v>210</v>
      </c>
      <c r="D210" s="43"/>
      <c r="E210" s="72" t="e">
        <f>SUM(F210:H210)</f>
        <v>#REF!</v>
      </c>
      <c r="F210" s="47">
        <f>TB!G157</f>
        <v>0</v>
      </c>
      <c r="G210" s="57" t="e">
        <f>[1]Sheet1!K156</f>
        <v>#REF!</v>
      </c>
      <c r="H210" s="18" t="e">
        <f>[1]Sheet1!M156</f>
        <v>#REF!</v>
      </c>
    </row>
    <row r="211" spans="1:8" s="17" customFormat="1" ht="15.75" customHeight="1">
      <c r="A211" s="43"/>
      <c r="B211" s="43"/>
      <c r="C211" s="69" t="s">
        <v>595</v>
      </c>
      <c r="D211" s="68"/>
      <c r="E211" s="72" t="e">
        <f>SUM(E212:E221)</f>
        <v>#REF!</v>
      </c>
      <c r="F211" s="90">
        <f>SUM(F212:F222)</f>
        <v>0</v>
      </c>
      <c r="G211" s="57" t="e">
        <f>SUM(G212:G221)</f>
        <v>#REF!</v>
      </c>
      <c r="H211" s="18" t="e">
        <f>SUM(H212:H221)</f>
        <v>#REF!</v>
      </c>
    </row>
    <row r="212" spans="1:8" s="17" customFormat="1" ht="15.75" customHeight="1">
      <c r="A212" s="43"/>
      <c r="B212" s="43"/>
      <c r="C212" s="43"/>
      <c r="D212" s="68" t="s">
        <v>212</v>
      </c>
      <c r="E212" s="44"/>
      <c r="F212" s="47">
        <f>TB!G158</f>
        <v>0</v>
      </c>
      <c r="G212" s="55"/>
      <c r="H212" s="16"/>
    </row>
    <row r="213" spans="1:8" s="17" customFormat="1" ht="15.75" hidden="1" customHeight="1">
      <c r="A213" s="43"/>
      <c r="B213" s="43"/>
      <c r="C213" s="43"/>
      <c r="D213" s="68" t="s">
        <v>214</v>
      </c>
      <c r="E213" s="44" t="e">
        <f t="shared" ref="E213:E221" si="9">SUM(F213:H213)</f>
        <v>#REF!</v>
      </c>
      <c r="F213" s="47">
        <f>TB!G159</f>
        <v>0</v>
      </c>
      <c r="G213" s="55" t="e">
        <f>[1]Sheet1!K158</f>
        <v>#REF!</v>
      </c>
      <c r="H213" s="16" t="e">
        <f>[1]Sheet1!M158</f>
        <v>#REF!</v>
      </c>
    </row>
    <row r="214" spans="1:8" s="17" customFormat="1" ht="15.75" hidden="1" customHeight="1">
      <c r="A214" s="43"/>
      <c r="B214" s="43"/>
      <c r="C214" s="43"/>
      <c r="D214" s="68" t="s">
        <v>216</v>
      </c>
      <c r="E214" s="44" t="e">
        <f t="shared" si="9"/>
        <v>#REF!</v>
      </c>
      <c r="F214" s="47">
        <f>TB!G160</f>
        <v>0</v>
      </c>
      <c r="G214" s="55" t="e">
        <f>[1]Sheet1!K159</f>
        <v>#REF!</v>
      </c>
      <c r="H214" s="16" t="e">
        <f>[1]Sheet1!M159</f>
        <v>#REF!</v>
      </c>
    </row>
    <row r="215" spans="1:8" s="17" customFormat="1" ht="24" hidden="1" customHeight="1">
      <c r="A215" s="43"/>
      <c r="B215" s="43"/>
      <c r="C215" s="43"/>
      <c r="D215" s="73" t="s">
        <v>218</v>
      </c>
      <c r="E215" s="44" t="e">
        <f t="shared" si="9"/>
        <v>#REF!</v>
      </c>
      <c r="F215" s="47">
        <f>TB!G161</f>
        <v>0</v>
      </c>
      <c r="G215" s="55" t="e">
        <f>[1]Sheet1!K160</f>
        <v>#REF!</v>
      </c>
      <c r="H215" s="16" t="e">
        <f>[1]Sheet1!M160</f>
        <v>#REF!</v>
      </c>
    </row>
    <row r="216" spans="1:8" s="17" customFormat="1" ht="15.75" hidden="1" customHeight="1">
      <c r="A216" s="43"/>
      <c r="B216" s="43"/>
      <c r="C216" s="43"/>
      <c r="D216" s="68" t="s">
        <v>1614</v>
      </c>
      <c r="E216" s="44" t="e">
        <f t="shared" si="9"/>
        <v>#REF!</v>
      </c>
      <c r="F216" s="47">
        <f>TB!G162</f>
        <v>0</v>
      </c>
      <c r="G216" s="55" t="e">
        <f>[1]Sheet1!K161</f>
        <v>#REF!</v>
      </c>
      <c r="H216" s="16" t="e">
        <f>[1]Sheet1!M161</f>
        <v>#REF!</v>
      </c>
    </row>
    <row r="217" spans="1:8" s="17" customFormat="1" ht="15.75" customHeight="1">
      <c r="A217" s="43"/>
      <c r="B217" s="43"/>
      <c r="C217" s="43"/>
      <c r="D217" s="68" t="s">
        <v>1616</v>
      </c>
      <c r="E217" s="44" t="e">
        <f t="shared" si="9"/>
        <v>#REF!</v>
      </c>
      <c r="F217" s="47">
        <f>TB!G163</f>
        <v>0</v>
      </c>
      <c r="G217" s="55" t="e">
        <f>[1]Sheet1!K162</f>
        <v>#REF!</v>
      </c>
      <c r="H217" s="16" t="e">
        <f>[1]Sheet1!M162</f>
        <v>#REF!</v>
      </c>
    </row>
    <row r="218" spans="1:8" s="17" customFormat="1" ht="15" hidden="1" customHeight="1">
      <c r="A218" s="43"/>
      <c r="B218" s="43"/>
      <c r="C218" s="43"/>
      <c r="D218" s="73" t="s">
        <v>1618</v>
      </c>
      <c r="E218" s="44" t="e">
        <f t="shared" si="9"/>
        <v>#REF!</v>
      </c>
      <c r="F218" s="47">
        <f>TB!G164</f>
        <v>0</v>
      </c>
      <c r="G218" s="55" t="e">
        <f>[1]Sheet1!K163</f>
        <v>#REF!</v>
      </c>
      <c r="H218" s="16" t="e">
        <f>[1]Sheet1!M163</f>
        <v>#REF!</v>
      </c>
    </row>
    <row r="219" spans="1:8" s="17" customFormat="1" ht="15.75" hidden="1" customHeight="1">
      <c r="A219" s="43"/>
      <c r="B219" s="43"/>
      <c r="C219" s="43"/>
      <c r="D219" s="68" t="s">
        <v>1620</v>
      </c>
      <c r="E219" s="44" t="e">
        <f t="shared" si="9"/>
        <v>#REF!</v>
      </c>
      <c r="F219" s="47">
        <f>TB!G165</f>
        <v>0</v>
      </c>
      <c r="G219" s="55" t="e">
        <f>[1]Sheet1!K164</f>
        <v>#REF!</v>
      </c>
      <c r="H219" s="16" t="e">
        <f>[1]Sheet1!M164</f>
        <v>#REF!</v>
      </c>
    </row>
    <row r="220" spans="1:8" s="17" customFormat="1" ht="15.75" hidden="1" customHeight="1">
      <c r="A220" s="43"/>
      <c r="B220" s="43"/>
      <c r="C220" s="43"/>
      <c r="D220" s="68" t="s">
        <v>1622</v>
      </c>
      <c r="E220" s="44" t="e">
        <f t="shared" si="9"/>
        <v>#REF!</v>
      </c>
      <c r="F220" s="47">
        <f>TB!G166</f>
        <v>0</v>
      </c>
      <c r="G220" s="55" t="e">
        <f>[1]Sheet1!K165</f>
        <v>#REF!</v>
      </c>
      <c r="H220" s="16" t="e">
        <f>[1]Sheet1!M165</f>
        <v>#REF!</v>
      </c>
    </row>
    <row r="221" spans="1:8" s="17" customFormat="1" ht="15.75" hidden="1" customHeight="1">
      <c r="A221" s="43"/>
      <c r="B221" s="43"/>
      <c r="C221" s="43"/>
      <c r="D221" s="68" t="s">
        <v>1624</v>
      </c>
      <c r="E221" s="44" t="e">
        <f t="shared" si="9"/>
        <v>#REF!</v>
      </c>
      <c r="F221" s="47">
        <f>TB!G167</f>
        <v>0</v>
      </c>
      <c r="G221" s="55" t="e">
        <f>[1]Sheet1!K166</f>
        <v>#REF!</v>
      </c>
      <c r="H221" s="16" t="e">
        <f>[1]Sheet1!M166</f>
        <v>#REF!</v>
      </c>
    </row>
    <row r="222" spans="1:8" s="17" customFormat="1" ht="15.75" hidden="1" customHeight="1">
      <c r="A222" s="43"/>
      <c r="B222" s="43"/>
      <c r="C222" s="43"/>
      <c r="D222" s="68" t="s">
        <v>596</v>
      </c>
      <c r="E222" s="44"/>
      <c r="F222" s="47">
        <f>TB!G154</f>
        <v>0</v>
      </c>
      <c r="G222" s="55"/>
      <c r="H222" s="16"/>
    </row>
    <row r="223" spans="1:8" s="22" customFormat="1" ht="15.75" customHeight="1">
      <c r="A223" s="66"/>
      <c r="B223" s="66"/>
      <c r="C223" s="66"/>
      <c r="D223" s="75" t="s">
        <v>597</v>
      </c>
      <c r="E223" s="67" t="e">
        <f>+E96+E110+E126+E136+E149+E186+E202+E206+E209</f>
        <v>#REF!</v>
      </c>
      <c r="F223" s="74">
        <f>+F96+F110+F126+F136+F149+F186+F202+F206+F209</f>
        <v>62568</v>
      </c>
      <c r="G223" s="54" t="e">
        <f>+G96+G110+G126+G136+G149+G186+G202+G206+G209</f>
        <v>#REF!</v>
      </c>
      <c r="H223" s="15" t="e">
        <f>+H96+H110+H126+H136+H149+H186+H202+H206+H209</f>
        <v>#REF!</v>
      </c>
    </row>
    <row r="224" spans="1:8" s="14" customFormat="1" ht="15.75" hidden="1" customHeight="1">
      <c r="A224" s="65"/>
      <c r="B224" s="65" t="s">
        <v>598</v>
      </c>
      <c r="C224" s="65"/>
      <c r="D224" s="69"/>
      <c r="E224" s="67"/>
      <c r="F224" s="74"/>
      <c r="G224" s="54"/>
      <c r="H224" s="15"/>
    </row>
    <row r="225" spans="1:8" s="17" customFormat="1" ht="15.75" hidden="1" customHeight="1">
      <c r="A225" s="43"/>
      <c r="B225" s="43"/>
      <c r="C225" s="43"/>
      <c r="D225" s="68" t="s">
        <v>1626</v>
      </c>
      <c r="E225" s="44" t="e">
        <f>SUM(F225:H225)</f>
        <v>#REF!</v>
      </c>
      <c r="F225" s="47">
        <f>TB!G168</f>
        <v>0</v>
      </c>
      <c r="G225" s="55" t="e">
        <f>[1]Sheet1!K167</f>
        <v>#REF!</v>
      </c>
      <c r="H225" s="16" t="e">
        <f>[1]Sheet1!M167</f>
        <v>#REF!</v>
      </c>
    </row>
    <row r="226" spans="1:8" s="17" customFormat="1" ht="15.75" hidden="1" customHeight="1">
      <c r="A226" s="43"/>
      <c r="B226" s="43"/>
      <c r="C226" s="43"/>
      <c r="D226" s="68" t="s">
        <v>1628</v>
      </c>
      <c r="E226" s="44" t="e">
        <f>SUM(F226:H226)</f>
        <v>#REF!</v>
      </c>
      <c r="F226" s="47">
        <f>TB!G169</f>
        <v>0</v>
      </c>
      <c r="G226" s="55" t="e">
        <f>[1]Sheet1!K168</f>
        <v>#REF!</v>
      </c>
      <c r="H226" s="16" t="e">
        <f>[1]Sheet1!M168</f>
        <v>#REF!</v>
      </c>
    </row>
    <row r="227" spans="1:8" s="17" customFormat="1" ht="15.75" hidden="1" customHeight="1">
      <c r="A227" s="43"/>
      <c r="B227" s="43"/>
      <c r="C227" s="43"/>
      <c r="D227" s="68" t="s">
        <v>1630</v>
      </c>
      <c r="E227" s="44" t="e">
        <f>SUM(F227:H227)</f>
        <v>#REF!</v>
      </c>
      <c r="F227" s="47">
        <f>TB!G170</f>
        <v>0</v>
      </c>
      <c r="G227" s="55" t="e">
        <f>[1]Sheet1!K169</f>
        <v>#REF!</v>
      </c>
      <c r="H227" s="16" t="e">
        <f>[1]Sheet1!M169</f>
        <v>#REF!</v>
      </c>
    </row>
    <row r="228" spans="1:8" s="17" customFormat="1" ht="15.75" hidden="1" customHeight="1">
      <c r="A228" s="43"/>
      <c r="B228" s="43"/>
      <c r="C228" s="43"/>
      <c r="D228" s="68" t="s">
        <v>1632</v>
      </c>
      <c r="E228" s="44" t="e">
        <f>SUM(F228:H228)</f>
        <v>#REF!</v>
      </c>
      <c r="F228" s="47">
        <f>TB!G171</f>
        <v>0</v>
      </c>
      <c r="G228" s="55" t="e">
        <f>[1]Sheet1!K170</f>
        <v>#REF!</v>
      </c>
      <c r="H228" s="16" t="e">
        <f>[1]Sheet1!M170</f>
        <v>#REF!</v>
      </c>
    </row>
    <row r="229" spans="1:8" s="17" customFormat="1" ht="15.75" hidden="1" customHeight="1">
      <c r="A229" s="43"/>
      <c r="B229" s="43"/>
      <c r="C229" s="43"/>
      <c r="D229" s="68" t="s">
        <v>1634</v>
      </c>
      <c r="E229" s="44" t="e">
        <f>SUM(F229:H229)</f>
        <v>#REF!</v>
      </c>
      <c r="F229" s="47">
        <f>TB!G172</f>
        <v>0</v>
      </c>
      <c r="G229" s="55" t="e">
        <f>[1]Sheet1!K171</f>
        <v>#REF!</v>
      </c>
      <c r="H229" s="16" t="e">
        <f>[1]Sheet1!M171</f>
        <v>#REF!</v>
      </c>
    </row>
    <row r="230" spans="1:8" s="17" customFormat="1" ht="15.75" hidden="1" customHeight="1">
      <c r="A230" s="43"/>
      <c r="B230" s="43"/>
      <c r="C230" s="43"/>
      <c r="D230" s="75" t="s">
        <v>599</v>
      </c>
      <c r="E230" s="44" t="e">
        <f>SUM(E225:E229)</f>
        <v>#REF!</v>
      </c>
      <c r="F230" s="47">
        <f>SUM(F225:F229)</f>
        <v>0</v>
      </c>
      <c r="G230" s="55" t="e">
        <f>SUM(G225:G229)</f>
        <v>#REF!</v>
      </c>
      <c r="H230" s="16" t="e">
        <f>SUM(H225:H229)</f>
        <v>#REF!</v>
      </c>
    </row>
    <row r="231" spans="1:8" s="24" customFormat="1" ht="15.75" customHeight="1">
      <c r="A231" s="43"/>
      <c r="B231" s="43"/>
      <c r="C231" s="43"/>
      <c r="D231" s="75" t="s">
        <v>600</v>
      </c>
      <c r="E231" s="50" t="e">
        <f>+E230+E223+E94+E85</f>
        <v>#REF!</v>
      </c>
      <c r="F231" s="81">
        <f>+F230+F223+F94+F85</f>
        <v>16622479.140000001</v>
      </c>
      <c r="G231" s="61" t="e">
        <f>+G230+G223+G94+G85</f>
        <v>#REF!</v>
      </c>
      <c r="H231" s="23" t="e">
        <f>+H230+H223+H94+H85</f>
        <v>#REF!</v>
      </c>
    </row>
    <row r="232" spans="1:8" s="24" customFormat="1" ht="15.75" customHeight="1">
      <c r="A232" s="43"/>
      <c r="B232" s="43"/>
      <c r="C232" s="43"/>
      <c r="D232" s="75"/>
      <c r="E232" s="50"/>
      <c r="F232" s="122"/>
      <c r="G232" s="61"/>
      <c r="H232" s="23"/>
    </row>
    <row r="233" spans="1:8" s="14" customFormat="1" ht="15.75" customHeight="1">
      <c r="A233" s="65" t="s">
        <v>601</v>
      </c>
      <c r="B233" s="65"/>
      <c r="C233" s="65"/>
      <c r="D233" s="69"/>
      <c r="E233" s="66"/>
      <c r="F233" s="49"/>
      <c r="G233" s="58"/>
      <c r="H233" s="19"/>
    </row>
    <row r="234" spans="1:8" s="14" customFormat="1" ht="15.75" customHeight="1">
      <c r="A234" s="65"/>
      <c r="B234" s="65" t="s">
        <v>602</v>
      </c>
      <c r="C234" s="65"/>
      <c r="D234" s="69"/>
      <c r="E234" s="67"/>
      <c r="F234" s="74"/>
      <c r="G234" s="54"/>
      <c r="H234" s="15"/>
    </row>
    <row r="235" spans="1:8" s="14" customFormat="1" ht="15.75" customHeight="1">
      <c r="A235" s="65"/>
      <c r="B235" s="65"/>
      <c r="C235" s="65" t="s">
        <v>603</v>
      </c>
      <c r="D235" s="69"/>
      <c r="E235" s="67" t="e">
        <f>SUM(E236:E239)</f>
        <v>#REF!</v>
      </c>
      <c r="F235" s="74">
        <f>SUM(F236:F239)</f>
        <v>-985</v>
      </c>
      <c r="G235" s="54" t="e">
        <f>SUM(G236:G239)</f>
        <v>#REF!</v>
      </c>
      <c r="H235" s="15" t="e">
        <f>SUM(H236:H239)</f>
        <v>#REF!</v>
      </c>
    </row>
    <row r="236" spans="1:8" s="17" customFormat="1" ht="15.75" hidden="1" customHeight="1">
      <c r="A236" s="43"/>
      <c r="B236" s="43"/>
      <c r="C236" s="43"/>
      <c r="D236" s="68" t="s">
        <v>1636</v>
      </c>
      <c r="E236" s="44" t="e">
        <f>SUM(F236:H236)</f>
        <v>#REF!</v>
      </c>
      <c r="F236" s="47">
        <f>TB!J173</f>
        <v>0</v>
      </c>
      <c r="G236" s="55" t="e">
        <f>[1]Sheet1!L172</f>
        <v>#REF!</v>
      </c>
      <c r="H236" s="16" t="e">
        <f>+[1]Sheet1!N172</f>
        <v>#REF!</v>
      </c>
    </row>
    <row r="237" spans="1:8" s="17" customFormat="1" ht="15.75" hidden="1" customHeight="1">
      <c r="A237" s="43"/>
      <c r="B237" s="43"/>
      <c r="C237" s="43"/>
      <c r="D237" s="68" t="s">
        <v>1638</v>
      </c>
      <c r="E237" s="44" t="e">
        <f>SUM(F237:H237)</f>
        <v>#REF!</v>
      </c>
      <c r="F237" s="47">
        <f>TB!J174</f>
        <v>0</v>
      </c>
      <c r="G237" s="55" t="e">
        <f>[1]Sheet1!L173</f>
        <v>#REF!</v>
      </c>
      <c r="H237" s="16" t="e">
        <f>[1]Sheet1!N173</f>
        <v>#REF!</v>
      </c>
    </row>
    <row r="238" spans="1:8" s="17" customFormat="1" ht="15.75" customHeight="1">
      <c r="A238" s="43"/>
      <c r="B238" s="43"/>
      <c r="C238" s="43"/>
      <c r="D238" s="68" t="s">
        <v>1640</v>
      </c>
      <c r="E238" s="44" t="e">
        <f>SUM(F238:H238)</f>
        <v>#REF!</v>
      </c>
      <c r="F238" s="47">
        <f>TB!J175</f>
        <v>-985</v>
      </c>
      <c r="G238" s="55" t="e">
        <f>[1]Sheet1!L174</f>
        <v>#REF!</v>
      </c>
      <c r="H238" s="16" t="e">
        <f>[1]Sheet1!N174</f>
        <v>#REF!</v>
      </c>
    </row>
    <row r="239" spans="1:8" s="17" customFormat="1" ht="15.75" hidden="1" customHeight="1">
      <c r="A239" s="43"/>
      <c r="B239" s="43"/>
      <c r="C239" s="43"/>
      <c r="D239" s="68" t="s">
        <v>1642</v>
      </c>
      <c r="E239" s="44" t="e">
        <f>SUM(F239:H239)</f>
        <v>#REF!</v>
      </c>
      <c r="F239" s="47">
        <f>TB!J176</f>
        <v>0</v>
      </c>
      <c r="G239" s="55" t="e">
        <f>[1]Sheet1!L175</f>
        <v>#REF!</v>
      </c>
      <c r="H239" s="16" t="e">
        <f>[1]Sheet1!N175</f>
        <v>#REF!</v>
      </c>
    </row>
    <row r="240" spans="1:8" s="14" customFormat="1" ht="15.75" customHeight="1">
      <c r="A240" s="65"/>
      <c r="B240" s="65"/>
      <c r="C240" s="65" t="s">
        <v>604</v>
      </c>
      <c r="D240" s="69"/>
      <c r="E240" s="67" t="e">
        <f>SUM(E241:E247)</f>
        <v>#REF!</v>
      </c>
      <c r="F240" s="74">
        <f>SUM(F241:F247)</f>
        <v>16143234.98</v>
      </c>
      <c r="G240" s="54" t="e">
        <f>SUM(G241:G247)</f>
        <v>#REF!</v>
      </c>
      <c r="H240" s="15" t="e">
        <f>SUM(H241:H247)</f>
        <v>#REF!</v>
      </c>
    </row>
    <row r="241" spans="1:8" s="17" customFormat="1" ht="15.75" customHeight="1">
      <c r="A241" s="43"/>
      <c r="B241" s="43"/>
      <c r="C241" s="43"/>
      <c r="D241" s="68" t="s">
        <v>1644</v>
      </c>
      <c r="E241" s="44" t="e">
        <f t="shared" ref="E241:E247" si="10">SUM(F241:H241)</f>
        <v>#REF!</v>
      </c>
      <c r="F241" s="47">
        <f>TB!J177</f>
        <v>-155.51000000000931</v>
      </c>
      <c r="G241" s="55" t="e">
        <f>[1]Sheet1!L176</f>
        <v>#REF!</v>
      </c>
      <c r="H241" s="16" t="e">
        <f>[1]Sheet1!N176</f>
        <v>#REF!</v>
      </c>
    </row>
    <row r="242" spans="1:8" s="17" customFormat="1" ht="15.75" customHeight="1">
      <c r="A242" s="43"/>
      <c r="B242" s="43"/>
      <c r="C242" s="43"/>
      <c r="D242" s="68" t="s">
        <v>1646</v>
      </c>
      <c r="E242" s="44" t="e">
        <f t="shared" si="10"/>
        <v>#REF!</v>
      </c>
      <c r="F242" s="47">
        <f>TB!J178</f>
        <v>-6857.18</v>
      </c>
      <c r="G242" s="55" t="e">
        <f>[1]Sheet1!L177</f>
        <v>#REF!</v>
      </c>
      <c r="H242" s="16" t="e">
        <f>[1]Sheet1!N177</f>
        <v>#REF!</v>
      </c>
    </row>
    <row r="243" spans="1:8" s="17" customFormat="1" ht="15.75" customHeight="1">
      <c r="A243" s="43"/>
      <c r="B243" s="43"/>
      <c r="C243" s="43"/>
      <c r="D243" s="68" t="s">
        <v>834</v>
      </c>
      <c r="E243" s="44" t="e">
        <f t="shared" si="10"/>
        <v>#REF!</v>
      </c>
      <c r="F243" s="47">
        <f>TB!J179</f>
        <v>-27150.819999999996</v>
      </c>
      <c r="G243" s="55" t="e">
        <f>[1]Sheet1!L178</f>
        <v>#REF!</v>
      </c>
      <c r="H243" s="16" t="e">
        <f>[1]Sheet1!N178</f>
        <v>#REF!</v>
      </c>
    </row>
    <row r="244" spans="1:8" s="17" customFormat="1" ht="15.75" customHeight="1">
      <c r="A244" s="43"/>
      <c r="B244" s="43"/>
      <c r="C244" s="43"/>
      <c r="D244" s="68" t="s">
        <v>836</v>
      </c>
      <c r="E244" s="44" t="e">
        <f t="shared" si="10"/>
        <v>#REF!</v>
      </c>
      <c r="F244" s="47">
        <f>TB!J180</f>
        <v>-9450</v>
      </c>
      <c r="G244" s="55" t="e">
        <f>[1]Sheet1!L179</f>
        <v>#REF!</v>
      </c>
      <c r="H244" s="16" t="e">
        <f>[1]Sheet1!N179</f>
        <v>#REF!</v>
      </c>
    </row>
    <row r="245" spans="1:8" s="17" customFormat="1" ht="15.75" customHeight="1">
      <c r="A245" s="43"/>
      <c r="B245" s="43"/>
      <c r="C245" s="43"/>
      <c r="D245" s="68" t="s">
        <v>838</v>
      </c>
      <c r="E245" s="44" t="e">
        <f t="shared" si="10"/>
        <v>#REF!</v>
      </c>
      <c r="F245" s="47">
        <f>TB!J181</f>
        <v>16186848.49</v>
      </c>
      <c r="G245" s="55" t="e">
        <f>[1]Sheet1!L180</f>
        <v>#REF!</v>
      </c>
      <c r="H245" s="16" t="e">
        <f>[1]Sheet1!N180</f>
        <v>#REF!</v>
      </c>
    </row>
    <row r="246" spans="1:8" s="17" customFormat="1" ht="15.75" hidden="1" customHeight="1">
      <c r="A246" s="43"/>
      <c r="B246" s="43"/>
      <c r="C246" s="43"/>
      <c r="D246" s="68" t="s">
        <v>840</v>
      </c>
      <c r="E246" s="44" t="e">
        <f t="shared" si="10"/>
        <v>#REF!</v>
      </c>
      <c r="F246" s="47">
        <f>-TB!G182</f>
        <v>0</v>
      </c>
      <c r="G246" s="55" t="e">
        <f>[1]Sheet1!L181</f>
        <v>#REF!</v>
      </c>
      <c r="H246" s="16" t="e">
        <f>[1]Sheet1!N181</f>
        <v>#REF!</v>
      </c>
    </row>
    <row r="247" spans="1:8" s="17" customFormat="1" ht="15.75" customHeight="1">
      <c r="A247" s="43"/>
      <c r="B247" s="43"/>
      <c r="C247" s="43"/>
      <c r="D247" s="68" t="s">
        <v>2354</v>
      </c>
      <c r="E247" s="44" t="e">
        <f t="shared" si="10"/>
        <v>#REF!</v>
      </c>
      <c r="F247" s="47">
        <f>TB!J183</f>
        <v>0</v>
      </c>
      <c r="G247" s="55" t="e">
        <f>[1]Sheet1!L182</f>
        <v>#REF!</v>
      </c>
      <c r="H247" s="16" t="e">
        <f>[1]Sheet1!N182</f>
        <v>#REF!</v>
      </c>
    </row>
    <row r="248" spans="1:8" s="14" customFormat="1" ht="15.75" customHeight="1">
      <c r="A248" s="65"/>
      <c r="B248" s="65"/>
      <c r="C248" s="65" t="s">
        <v>605</v>
      </c>
      <c r="D248" s="69"/>
      <c r="E248" s="67" t="e">
        <f>SUM(E249:E249)</f>
        <v>#REF!</v>
      </c>
      <c r="F248" s="74">
        <f>SUM(F249:F249)</f>
        <v>629862.75</v>
      </c>
      <c r="G248" s="54" t="e">
        <f>SUM(G249:G249)</f>
        <v>#REF!</v>
      </c>
      <c r="H248" s="15" t="e">
        <f>SUM(H249:H249)</f>
        <v>#REF!</v>
      </c>
    </row>
    <row r="249" spans="1:8" s="17" customFormat="1" ht="15.75" customHeight="1">
      <c r="A249" s="43"/>
      <c r="B249" s="43"/>
      <c r="C249" s="43"/>
      <c r="D249" s="68" t="s">
        <v>851</v>
      </c>
      <c r="E249" s="44" t="e">
        <f>SUM(F249:H249)</f>
        <v>#REF!</v>
      </c>
      <c r="F249" s="47">
        <f>+TB!J184</f>
        <v>629862.75</v>
      </c>
      <c r="G249" s="55" t="e">
        <f>[1]Sheet1!L183</f>
        <v>#REF!</v>
      </c>
      <c r="H249" s="16" t="e">
        <f>[1]Sheet1!N183</f>
        <v>#REF!</v>
      </c>
    </row>
    <row r="250" spans="1:8" s="14" customFormat="1" ht="15.75" customHeight="1">
      <c r="A250" s="65"/>
      <c r="B250" s="65"/>
      <c r="C250" s="65" t="s">
        <v>606</v>
      </c>
      <c r="D250" s="69"/>
      <c r="E250" s="67" t="e">
        <f>SUM(E251:E255)</f>
        <v>#REF!</v>
      </c>
      <c r="F250" s="74">
        <f>SUM(F251:F255)</f>
        <v>-149633.59000000078</v>
      </c>
      <c r="G250" s="54" t="e">
        <f>SUM(G251:G255)</f>
        <v>#REF!</v>
      </c>
      <c r="H250" s="15" t="e">
        <f>SUM(H251:H255)</f>
        <v>#REF!</v>
      </c>
    </row>
    <row r="251" spans="1:8" s="17" customFormat="1" ht="15.75" customHeight="1">
      <c r="A251" s="43"/>
      <c r="B251" s="43"/>
      <c r="C251" s="43"/>
      <c r="D251" s="68" t="s">
        <v>853</v>
      </c>
      <c r="E251" s="44" t="e">
        <f>SUM(F251:H251)</f>
        <v>#REF!</v>
      </c>
      <c r="F251" s="47">
        <f>TB!J185</f>
        <v>0</v>
      </c>
      <c r="G251" s="55" t="e">
        <f>[1]Sheet1!L184</f>
        <v>#REF!</v>
      </c>
      <c r="H251" s="16" t="e">
        <f>[1]Sheet1!N184</f>
        <v>#REF!</v>
      </c>
    </row>
    <row r="252" spans="1:8" s="17" customFormat="1" ht="15.75" customHeight="1">
      <c r="A252" s="43"/>
      <c r="B252" s="43"/>
      <c r="C252" s="43"/>
      <c r="D252" s="68" t="s">
        <v>855</v>
      </c>
      <c r="E252" s="44" t="e">
        <f>SUM(F252:H252)</f>
        <v>#REF!</v>
      </c>
      <c r="F252" s="47">
        <f>TB!J186</f>
        <v>48500</v>
      </c>
      <c r="G252" s="55" t="e">
        <f>[1]Sheet1!L185</f>
        <v>#REF!</v>
      </c>
      <c r="H252" s="16" t="e">
        <f>[1]Sheet1!N185</f>
        <v>#REF!</v>
      </c>
    </row>
    <row r="253" spans="1:8" s="17" customFormat="1" ht="15.75" hidden="1" customHeight="1">
      <c r="A253" s="43"/>
      <c r="B253" s="43"/>
      <c r="C253" s="43"/>
      <c r="D253" s="68" t="s">
        <v>857</v>
      </c>
      <c r="E253" s="44" t="e">
        <f>SUM(F253:H253)</f>
        <v>#REF!</v>
      </c>
      <c r="F253" s="47">
        <f>TB!J187</f>
        <v>0</v>
      </c>
      <c r="G253" s="55" t="e">
        <f>[1]Sheet1!L186</f>
        <v>#REF!</v>
      </c>
      <c r="H253" s="16" t="e">
        <f>[1]Sheet1!N186</f>
        <v>#REF!</v>
      </c>
    </row>
    <row r="254" spans="1:8" s="17" customFormat="1" ht="15.75" hidden="1" customHeight="1">
      <c r="A254" s="43"/>
      <c r="B254" s="43"/>
      <c r="C254" s="43"/>
      <c r="D254" s="68" t="s">
        <v>859</v>
      </c>
      <c r="E254" s="44" t="e">
        <f>SUM(F254:H254)</f>
        <v>#REF!</v>
      </c>
      <c r="F254" s="47">
        <f>TB!J188</f>
        <v>0</v>
      </c>
      <c r="G254" s="55" t="e">
        <f>[1]Sheet1!L187</f>
        <v>#REF!</v>
      </c>
      <c r="H254" s="16" t="e">
        <f>[1]Sheet1!N187</f>
        <v>#REF!</v>
      </c>
    </row>
    <row r="255" spans="1:8" s="17" customFormat="1" ht="15.75" customHeight="1">
      <c r="A255" s="43"/>
      <c r="B255" s="43"/>
      <c r="C255" s="43"/>
      <c r="D255" s="68" t="s">
        <v>861</v>
      </c>
      <c r="E255" s="44" t="e">
        <f>SUM(F255:H255)</f>
        <v>#REF!</v>
      </c>
      <c r="F255" s="47">
        <f>TB!J189</f>
        <v>-198133.59000000078</v>
      </c>
      <c r="G255" s="55" t="e">
        <f>[1]Sheet1!L188</f>
        <v>#REF!</v>
      </c>
      <c r="H255" s="16" t="e">
        <f>[1]Sheet1!N188</f>
        <v>#REF!</v>
      </c>
    </row>
    <row r="256" spans="1:8" s="25" customFormat="1" ht="15.75" customHeight="1">
      <c r="A256" s="76"/>
      <c r="B256" s="76"/>
      <c r="C256" s="76"/>
      <c r="D256" s="69" t="s">
        <v>607</v>
      </c>
      <c r="E256" s="67" t="e">
        <f>+E250+E248+E240+E235</f>
        <v>#REF!</v>
      </c>
      <c r="F256" s="74">
        <f>+F250+F248+F240+F235</f>
        <v>16622479.140000001</v>
      </c>
      <c r="G256" s="54" t="e">
        <f>+G250+G248+G240+G235</f>
        <v>#REF!</v>
      </c>
      <c r="H256" s="15" t="e">
        <f>+H250+H248+H240+H235</f>
        <v>#REF!</v>
      </c>
    </row>
    <row r="257" spans="1:8" s="14" customFormat="1" ht="15.75" hidden="1" customHeight="1">
      <c r="A257" s="65"/>
      <c r="B257" s="65" t="s">
        <v>608</v>
      </c>
      <c r="C257" s="65"/>
      <c r="D257" s="69"/>
      <c r="E257" s="67"/>
      <c r="F257" s="74"/>
      <c r="G257" s="54"/>
      <c r="H257" s="15"/>
    </row>
    <row r="258" spans="1:8" s="14" customFormat="1" ht="15.75" hidden="1" customHeight="1">
      <c r="A258" s="65"/>
      <c r="B258" s="65"/>
      <c r="C258" s="65" t="s">
        <v>609</v>
      </c>
      <c r="D258" s="69"/>
      <c r="E258" s="67"/>
      <c r="F258" s="74"/>
      <c r="G258" s="54"/>
      <c r="H258" s="15"/>
    </row>
    <row r="259" spans="1:8" s="17" customFormat="1" ht="15.75" hidden="1" customHeight="1">
      <c r="A259" s="43"/>
      <c r="B259" s="43"/>
      <c r="C259" s="43"/>
      <c r="D259" s="68" t="s">
        <v>863</v>
      </c>
      <c r="E259" s="44" t="e">
        <f t="shared" ref="E259:E264" si="11">SUM(F259:H259)</f>
        <v>#REF!</v>
      </c>
      <c r="F259" s="47">
        <f>TB!J190</f>
        <v>0</v>
      </c>
      <c r="G259" s="55" t="e">
        <f>[1]Sheet1!L189</f>
        <v>#REF!</v>
      </c>
      <c r="H259" s="16" t="e">
        <f>[1]Sheet1!N189</f>
        <v>#REF!</v>
      </c>
    </row>
    <row r="260" spans="1:8" s="17" customFormat="1" ht="15.75" hidden="1" customHeight="1">
      <c r="A260" s="43"/>
      <c r="B260" s="43"/>
      <c r="C260" s="43"/>
      <c r="D260" s="68" t="s">
        <v>865</v>
      </c>
      <c r="E260" s="44" t="e">
        <f t="shared" si="11"/>
        <v>#REF!</v>
      </c>
      <c r="F260" s="47">
        <f>TB!J191</f>
        <v>0</v>
      </c>
      <c r="G260" s="55" t="e">
        <f>[1]Sheet1!L190</f>
        <v>#REF!</v>
      </c>
      <c r="H260" s="16" t="e">
        <f>[1]Sheet1!N190</f>
        <v>#REF!</v>
      </c>
    </row>
    <row r="261" spans="1:8" s="17" customFormat="1" ht="15.75" hidden="1" customHeight="1">
      <c r="A261" s="43"/>
      <c r="B261" s="43"/>
      <c r="C261" s="43"/>
      <c r="D261" s="68" t="s">
        <v>867</v>
      </c>
      <c r="E261" s="44" t="e">
        <f t="shared" si="11"/>
        <v>#REF!</v>
      </c>
      <c r="F261" s="47">
        <f>TB!J192</f>
        <v>0</v>
      </c>
      <c r="G261" s="55" t="e">
        <f>[1]Sheet1!L191</f>
        <v>#REF!</v>
      </c>
      <c r="H261" s="16" t="e">
        <f>[1]Sheet1!N191</f>
        <v>#REF!</v>
      </c>
    </row>
    <row r="262" spans="1:8" s="17" customFormat="1" ht="15.75" hidden="1" customHeight="1">
      <c r="A262" s="43"/>
      <c r="B262" s="43"/>
      <c r="C262" s="43"/>
      <c r="D262" s="68" t="s">
        <v>869</v>
      </c>
      <c r="E262" s="44" t="e">
        <f t="shared" si="11"/>
        <v>#REF!</v>
      </c>
      <c r="F262" s="47">
        <f>TB!J193</f>
        <v>0</v>
      </c>
      <c r="G262" s="55" t="e">
        <f>[1]Sheet1!L192</f>
        <v>#REF!</v>
      </c>
      <c r="H262" s="16" t="e">
        <f>[1]Sheet1!N192</f>
        <v>#REF!</v>
      </c>
    </row>
    <row r="263" spans="1:8" s="17" customFormat="1" ht="15.75" hidden="1" customHeight="1">
      <c r="A263" s="43"/>
      <c r="B263" s="43"/>
      <c r="C263" s="43"/>
      <c r="D263" s="68" t="s">
        <v>871</v>
      </c>
      <c r="E263" s="44" t="e">
        <f t="shared" si="11"/>
        <v>#REF!</v>
      </c>
      <c r="F263" s="47">
        <f>TB!J194</f>
        <v>0</v>
      </c>
      <c r="G263" s="55" t="e">
        <f>[1]Sheet1!L193</f>
        <v>#REF!</v>
      </c>
      <c r="H263" s="16" t="e">
        <f>[1]Sheet1!N193</f>
        <v>#REF!</v>
      </c>
    </row>
    <row r="264" spans="1:8" s="17" customFormat="1" ht="15.75" hidden="1" customHeight="1">
      <c r="A264" s="43"/>
      <c r="B264" s="43"/>
      <c r="C264" s="43"/>
      <c r="D264" s="68" t="s">
        <v>873</v>
      </c>
      <c r="E264" s="44" t="e">
        <f t="shared" si="11"/>
        <v>#REF!</v>
      </c>
      <c r="F264" s="47">
        <f>TB!J195</f>
        <v>0</v>
      </c>
      <c r="G264" s="55" t="e">
        <f>[1]Sheet1!L194</f>
        <v>#REF!</v>
      </c>
      <c r="H264" s="16" t="e">
        <f>[1]Sheet1!N194</f>
        <v>#REF!</v>
      </c>
    </row>
    <row r="265" spans="1:8" s="25" customFormat="1" ht="15.75" hidden="1" customHeight="1">
      <c r="A265" s="65"/>
      <c r="B265" s="65"/>
      <c r="C265" s="65"/>
      <c r="D265" s="69" t="s">
        <v>610</v>
      </c>
      <c r="E265" s="67" t="e">
        <f>SUM(E259:E264)</f>
        <v>#REF!</v>
      </c>
      <c r="F265" s="74">
        <f>SUM(F259:F264)</f>
        <v>0</v>
      </c>
      <c r="G265" s="54" t="e">
        <f>SUM(G259:G264)</f>
        <v>#REF!</v>
      </c>
      <c r="H265" s="15" t="e">
        <f>SUM(H259:H264)</f>
        <v>#REF!</v>
      </c>
    </row>
    <row r="266" spans="1:8" s="25" customFormat="1" ht="15.75" customHeight="1">
      <c r="A266" s="65"/>
      <c r="B266" s="65"/>
      <c r="C266" s="65"/>
      <c r="D266" s="69" t="s">
        <v>611</v>
      </c>
      <c r="E266" s="67" t="e">
        <f>+E265+E256</f>
        <v>#REF!</v>
      </c>
      <c r="F266" s="74">
        <f>+F265+F256</f>
        <v>16622479.140000001</v>
      </c>
      <c r="G266" s="54" t="e">
        <f>+G265+G256</f>
        <v>#REF!</v>
      </c>
      <c r="H266" s="15" t="e">
        <f>+H265+H256</f>
        <v>#REF!</v>
      </c>
    </row>
    <row r="267" spans="1:8" s="14" customFormat="1" ht="15.75" hidden="1" customHeight="1">
      <c r="A267" s="65"/>
      <c r="B267" s="65" t="s">
        <v>612</v>
      </c>
      <c r="C267" s="65"/>
      <c r="D267" s="69"/>
      <c r="E267" s="67"/>
      <c r="F267" s="74"/>
      <c r="G267" s="54"/>
      <c r="H267" s="15"/>
    </row>
    <row r="268" spans="1:8" s="17" customFormat="1" ht="15.75" hidden="1" customHeight="1">
      <c r="A268" s="43"/>
      <c r="B268" s="43"/>
      <c r="C268" s="43"/>
      <c r="D268" s="68" t="s">
        <v>1540</v>
      </c>
      <c r="E268" s="44" t="e">
        <f>SUM(F268:H268)</f>
        <v>#REF!</v>
      </c>
      <c r="F268" s="47">
        <f>TB!J196</f>
        <v>0</v>
      </c>
      <c r="G268" s="55" t="e">
        <f>[1]Sheet1!L195</f>
        <v>#REF!</v>
      </c>
      <c r="H268" s="16" t="e">
        <f>[1]Sheet1!N195</f>
        <v>#REF!</v>
      </c>
    </row>
    <row r="269" spans="1:8" s="17" customFormat="1" ht="15.75" hidden="1" customHeight="1">
      <c r="A269" s="43"/>
      <c r="B269" s="43"/>
      <c r="C269" s="43"/>
      <c r="D269" s="68" t="s">
        <v>1542</v>
      </c>
      <c r="E269" s="44" t="e">
        <f>SUM(F269:H269)</f>
        <v>#REF!</v>
      </c>
      <c r="F269" s="47">
        <f>TB!J197</f>
        <v>0</v>
      </c>
      <c r="G269" s="55" t="e">
        <f>[1]Sheet1!L196</f>
        <v>#REF!</v>
      </c>
      <c r="H269" s="16" t="e">
        <f>[1]Sheet1!N196</f>
        <v>#REF!</v>
      </c>
    </row>
    <row r="270" spans="1:8" s="17" customFormat="1" ht="15.75" hidden="1" customHeight="1">
      <c r="A270" s="43"/>
      <c r="B270" s="43"/>
      <c r="C270" s="43"/>
      <c r="D270" s="68" t="s">
        <v>1544</v>
      </c>
      <c r="E270" s="44" t="e">
        <f>SUM(F270:H270)</f>
        <v>#REF!</v>
      </c>
      <c r="F270" s="47">
        <f>TB!J198</f>
        <v>0</v>
      </c>
      <c r="G270" s="55" t="e">
        <f>[1]Sheet1!L197</f>
        <v>#REF!</v>
      </c>
      <c r="H270" s="16" t="e">
        <f>[1]Sheet1!N197</f>
        <v>#REF!</v>
      </c>
    </row>
    <row r="271" spans="1:8" s="25" customFormat="1" ht="15.75" hidden="1" customHeight="1">
      <c r="A271" s="65"/>
      <c r="B271" s="65"/>
      <c r="C271" s="65"/>
      <c r="D271" s="69" t="s">
        <v>613</v>
      </c>
      <c r="E271" s="67" t="e">
        <f>SUM(E268:E270)</f>
        <v>#REF!</v>
      </c>
      <c r="F271" s="74">
        <f>SUM(F268:F270)</f>
        <v>0</v>
      </c>
      <c r="G271" s="54" t="e">
        <f>SUM(G268:G270)</f>
        <v>#REF!</v>
      </c>
      <c r="H271" s="15" t="e">
        <f>SUM(H268:H270)</f>
        <v>#REF!</v>
      </c>
    </row>
    <row r="272" spans="1:8" s="25" customFormat="1" ht="15.75" hidden="1" customHeight="1">
      <c r="A272" s="65"/>
      <c r="B272" s="65"/>
      <c r="C272" s="65"/>
      <c r="D272" s="69"/>
      <c r="E272" s="67"/>
      <c r="F272" s="74"/>
      <c r="G272" s="54"/>
      <c r="H272" s="15"/>
    </row>
    <row r="273" spans="1:8" s="14" customFormat="1" ht="15.75" hidden="1" customHeight="1">
      <c r="A273" s="65" t="s">
        <v>614</v>
      </c>
      <c r="B273" s="65"/>
      <c r="C273" s="65"/>
      <c r="D273" s="69"/>
      <c r="E273" s="67">
        <f>+E274</f>
        <v>118783332.62</v>
      </c>
      <c r="F273" s="74">
        <f>+F274</f>
        <v>0</v>
      </c>
      <c r="G273" s="54">
        <f>+G274</f>
        <v>16396736.120000003</v>
      </c>
      <c r="H273" s="15">
        <f>+H274</f>
        <v>102386596.5</v>
      </c>
    </row>
    <row r="274" spans="1:8" s="17" customFormat="1" ht="15.75" hidden="1" customHeight="1">
      <c r="A274" s="43"/>
      <c r="B274" s="68" t="s">
        <v>1546</v>
      </c>
      <c r="C274" s="43"/>
      <c r="D274" s="43"/>
      <c r="E274" s="44">
        <f>SUM(F274:H274)</f>
        <v>118783332.62</v>
      </c>
      <c r="F274" s="47">
        <f>SGE!F30</f>
        <v>0</v>
      </c>
      <c r="G274" s="55">
        <f>[1]SGE!D16</f>
        <v>16396736.120000003</v>
      </c>
      <c r="H274" s="16">
        <f>[1]SGE!E16</f>
        <v>102386596.5</v>
      </c>
    </row>
    <row r="275" spans="1:8" s="27" customFormat="1" ht="15.75" customHeight="1">
      <c r="A275" s="65"/>
      <c r="B275" s="65"/>
      <c r="C275" s="65"/>
      <c r="D275" s="65" t="s">
        <v>615</v>
      </c>
      <c r="E275" s="77" t="e">
        <f>+E273+E271+E266</f>
        <v>#REF!</v>
      </c>
      <c r="F275" s="81">
        <f>+F273+F271+F266</f>
        <v>16622479.140000001</v>
      </c>
      <c r="G275" s="62" t="e">
        <f>+G273+G271+G266</f>
        <v>#REF!</v>
      </c>
      <c r="H275" s="26" t="e">
        <f>+H273+H271+H266</f>
        <v>#REF!</v>
      </c>
    </row>
    <row r="276" spans="1:8" ht="15.75" customHeight="1">
      <c r="A276" s="78"/>
      <c r="B276" s="78"/>
      <c r="C276" s="78"/>
      <c r="D276" s="78"/>
      <c r="E276" s="79"/>
      <c r="F276" s="123">
        <f>F231-F275</f>
        <v>0</v>
      </c>
      <c r="G276" s="51"/>
      <c r="H276" s="28"/>
    </row>
    <row r="277" spans="1:8" s="31" customFormat="1" ht="15.75" hidden="1" customHeight="1">
      <c r="A277" s="63"/>
      <c r="B277" s="63"/>
      <c r="C277" s="63"/>
      <c r="D277" s="63" t="s">
        <v>616</v>
      </c>
      <c r="E277" s="64" t="e">
        <f>+E275-E231</f>
        <v>#REF!</v>
      </c>
      <c r="F277" s="124">
        <f>+F275-F231</f>
        <v>0</v>
      </c>
      <c r="G277" s="30" t="e">
        <f>+G275-G231</f>
        <v>#REF!</v>
      </c>
      <c r="H277" s="30" t="e">
        <f>+H275-H231</f>
        <v>#REF!</v>
      </c>
    </row>
    <row r="280" spans="1:8" ht="15.75" customHeight="1">
      <c r="A280" s="29" t="s">
        <v>1236</v>
      </c>
    </row>
    <row r="283" spans="1:8" ht="15.75" customHeight="1">
      <c r="A283" s="33" t="s">
        <v>1237</v>
      </c>
      <c r="D283" s="32"/>
    </row>
    <row r="284" spans="1:8" ht="15.75" customHeight="1">
      <c r="A284" s="117" t="s">
        <v>1183</v>
      </c>
      <c r="D284" s="32"/>
    </row>
  </sheetData>
  <mergeCells count="3">
    <mergeCell ref="A5:F5"/>
    <mergeCell ref="A6:F6"/>
    <mergeCell ref="A7:F7"/>
  </mergeCells>
  <phoneticPr fontId="34" type="noConversion"/>
  <printOptions horizontalCentered="1"/>
  <pageMargins left="1" right="0.75" top="0.75" bottom="1.25" header="0.25" footer="0.25"/>
  <pageSetup paperSize="5" scale="80" orientation="portrait" r:id="rId1"/>
  <headerFooter alignWithMargins="0"/>
</worksheet>
</file>

<file path=xl/worksheets/sheet4.xml><?xml version="1.0" encoding="utf-8"?>
<worksheet xmlns="http://schemas.openxmlformats.org/spreadsheetml/2006/main" xmlns:r="http://schemas.openxmlformats.org/officeDocument/2006/relationships">
  <dimension ref="A1:I286"/>
  <sheetViews>
    <sheetView showGridLines="0" topLeftCell="A236" workbookViewId="0">
      <selection activeCell="J281" sqref="J281"/>
    </sheetView>
  </sheetViews>
  <sheetFormatPr defaultRowHeight="15.75" customHeight="1"/>
  <cols>
    <col min="1" max="2" width="1.28515625" style="128" customWidth="1"/>
    <col min="3" max="3" width="1.7109375" style="128" customWidth="1"/>
    <col min="4" max="4" width="55.7109375" style="128" customWidth="1"/>
    <col min="5" max="5" width="17.42578125" style="138" hidden="1" customWidth="1"/>
    <col min="6" max="6" width="18.7109375" style="229" customWidth="1"/>
    <col min="7" max="7" width="18.7109375" style="138" customWidth="1"/>
    <col min="8" max="8" width="0.140625" style="138" customWidth="1"/>
    <col min="9" max="9" width="0" style="128" hidden="1" customWidth="1"/>
    <col min="10" max="10" width="13.85546875" style="128" customWidth="1"/>
    <col min="11" max="16384" width="9.140625" style="128"/>
  </cols>
  <sheetData>
    <row r="1" spans="1:9" ht="16.5" customHeight="1">
      <c r="A1" s="400" t="s">
        <v>1016</v>
      </c>
      <c r="B1" s="400"/>
      <c r="C1" s="400"/>
      <c r="D1" s="400"/>
      <c r="E1" s="400"/>
      <c r="F1" s="400"/>
      <c r="G1" s="400"/>
      <c r="H1" s="128"/>
    </row>
    <row r="2" spans="1:9" ht="15.75" customHeight="1">
      <c r="A2" s="399" t="s">
        <v>1017</v>
      </c>
      <c r="B2" s="399"/>
      <c r="C2" s="399"/>
      <c r="D2" s="399"/>
      <c r="E2" s="399"/>
      <c r="F2" s="399"/>
      <c r="G2" s="399"/>
      <c r="H2" s="128"/>
    </row>
    <row r="3" spans="1:9" ht="15.75" customHeight="1">
      <c r="A3" s="400" t="s">
        <v>1018</v>
      </c>
      <c r="B3" s="400"/>
      <c r="C3" s="400"/>
      <c r="D3" s="400"/>
      <c r="E3" s="400"/>
      <c r="F3" s="400"/>
      <c r="G3" s="400"/>
      <c r="H3" s="128"/>
    </row>
    <row r="4" spans="1:9" ht="15.75" customHeight="1">
      <c r="A4" s="184"/>
      <c r="B4" s="185"/>
      <c r="C4" s="185"/>
      <c r="D4" s="185"/>
      <c r="E4" s="185"/>
      <c r="F4" s="185"/>
      <c r="G4" s="185"/>
      <c r="H4" s="128"/>
    </row>
    <row r="5" spans="1:9" ht="15.75" customHeight="1">
      <c r="A5" s="399" t="s">
        <v>1240</v>
      </c>
      <c r="B5" s="399"/>
      <c r="C5" s="399"/>
      <c r="D5" s="399"/>
      <c r="E5" s="399"/>
      <c r="F5" s="399"/>
      <c r="G5" s="399"/>
      <c r="H5" s="128"/>
    </row>
    <row r="6" spans="1:9" ht="15.75" customHeight="1">
      <c r="A6" s="399" t="s">
        <v>281</v>
      </c>
      <c r="B6" s="399"/>
      <c r="C6" s="399"/>
      <c r="D6" s="399"/>
      <c r="E6" s="399"/>
      <c r="F6" s="399"/>
      <c r="G6" s="399"/>
      <c r="H6" s="128"/>
    </row>
    <row r="7" spans="1:9" ht="15.75" customHeight="1">
      <c r="A7" s="400" t="str">
        <f>+TB!A7</f>
        <v>As of  January  31, 2011</v>
      </c>
      <c r="B7" s="400"/>
      <c r="C7" s="400"/>
      <c r="D7" s="400"/>
      <c r="E7" s="400"/>
      <c r="F7" s="400"/>
      <c r="G7" s="400"/>
      <c r="H7" s="128"/>
    </row>
    <row r="8" spans="1:9" ht="15.75" customHeight="1">
      <c r="A8" s="400" t="s">
        <v>1681</v>
      </c>
      <c r="B8" s="400"/>
      <c r="C8" s="400"/>
      <c r="D8" s="400"/>
      <c r="E8" s="400"/>
      <c r="F8" s="400"/>
      <c r="G8" s="400"/>
      <c r="H8" s="128"/>
    </row>
    <row r="9" spans="1:9" ht="15.75" customHeight="1">
      <c r="A9" s="175"/>
      <c r="B9" s="175"/>
      <c r="C9" s="175"/>
      <c r="D9" s="175"/>
      <c r="E9" s="175"/>
      <c r="F9" s="175"/>
      <c r="G9" s="175"/>
      <c r="H9" s="128"/>
    </row>
    <row r="10" spans="1:9" ht="15.75" customHeight="1">
      <c r="A10" s="186"/>
      <c r="B10" s="187"/>
      <c r="C10" s="187"/>
      <c r="D10" s="188"/>
      <c r="E10" s="134"/>
      <c r="F10" s="189" t="s">
        <v>1683</v>
      </c>
      <c r="G10" s="190" t="s">
        <v>1682</v>
      </c>
      <c r="H10" s="128"/>
    </row>
    <row r="11" spans="1:9" s="194" customFormat="1" ht="15.75" customHeight="1">
      <c r="A11" s="178" t="s">
        <v>1241</v>
      </c>
      <c r="B11" s="178"/>
      <c r="C11" s="178"/>
      <c r="D11" s="178"/>
      <c r="E11" s="191"/>
      <c r="F11" s="161"/>
      <c r="G11" s="192"/>
      <c r="H11" s="193"/>
    </row>
    <row r="12" spans="1:9" s="194" customFormat="1" ht="15.75" customHeight="1">
      <c r="A12" s="178" t="s">
        <v>1242</v>
      </c>
      <c r="B12" s="178"/>
      <c r="C12" s="178"/>
      <c r="D12" s="178"/>
      <c r="E12" s="195"/>
      <c r="F12" s="196"/>
      <c r="G12" s="197"/>
      <c r="H12" s="198"/>
    </row>
    <row r="13" spans="1:9" s="194" customFormat="1" ht="15.75" customHeight="1">
      <c r="A13" s="178"/>
      <c r="B13" s="178" t="s">
        <v>1243</v>
      </c>
      <c r="C13" s="178"/>
      <c r="D13" s="178"/>
      <c r="E13" s="195" t="e">
        <f>+E14+E19+E24</f>
        <v>#REF!</v>
      </c>
      <c r="F13" s="196">
        <f>+F14+F19+F24</f>
        <v>14332534.540000001</v>
      </c>
      <c r="G13" s="196">
        <f>+G14+G19+G24</f>
        <v>106555897.00999995</v>
      </c>
      <c r="H13" s="198" t="e">
        <f>+H14+H19+H24</f>
        <v>#REF!</v>
      </c>
      <c r="I13" s="194">
        <f>+G13-[2]BS!$F$11</f>
        <v>0</v>
      </c>
    </row>
    <row r="14" spans="1:9" s="194" customFormat="1" ht="15.75" customHeight="1">
      <c r="A14" s="178"/>
      <c r="B14" s="178"/>
      <c r="C14" s="178" t="s">
        <v>1244</v>
      </c>
      <c r="D14" s="178"/>
      <c r="E14" s="195" t="e">
        <f>SUM(E15:E18)</f>
        <v>#REF!</v>
      </c>
      <c r="F14" s="196">
        <f>SUM(F15:F18)</f>
        <v>-0.80000000004656613</v>
      </c>
      <c r="G14" s="196">
        <f>SUM(G15:G18)</f>
        <v>11756.520000000251</v>
      </c>
      <c r="H14" s="198" t="e">
        <f>SUM(H15:H18)</f>
        <v>#REF!</v>
      </c>
      <c r="I14" s="194">
        <f>+G14-[2]BS!$F$12</f>
        <v>0</v>
      </c>
    </row>
    <row r="15" spans="1:9" s="172" customFormat="1" ht="15.75" hidden="1" customHeight="1">
      <c r="A15" s="162"/>
      <c r="B15" s="162"/>
      <c r="C15" s="162"/>
      <c r="D15" s="145" t="s">
        <v>1029</v>
      </c>
      <c r="E15" s="148" t="e">
        <f>SUM(F15:H15)</f>
        <v>#REF!</v>
      </c>
      <c r="F15" s="154">
        <f>TB!G12</f>
        <v>0</v>
      </c>
      <c r="G15" s="154">
        <f>[2]TB!G12</f>
        <v>0</v>
      </c>
      <c r="H15" s="199" t="e">
        <f>[1]Sheet1!M13</f>
        <v>#REF!</v>
      </c>
      <c r="I15" s="194">
        <f>+G15-[2]BS!$F$11</f>
        <v>-106555897.00999995</v>
      </c>
    </row>
    <row r="16" spans="1:9" s="172" customFormat="1" ht="15.75" hidden="1" customHeight="1">
      <c r="A16" s="162"/>
      <c r="B16" s="162"/>
      <c r="C16" s="162"/>
      <c r="D16" s="145" t="s">
        <v>1030</v>
      </c>
      <c r="E16" s="148">
        <f>SUM(F16:H16)</f>
        <v>0</v>
      </c>
      <c r="F16" s="154">
        <f>TB!G13</f>
        <v>0</v>
      </c>
      <c r="G16" s="154">
        <f>[2]TB!G13</f>
        <v>0</v>
      </c>
      <c r="H16" s="199"/>
      <c r="I16" s="194">
        <f>+G16-[2]BS!$F$11</f>
        <v>-106555897.00999995</v>
      </c>
    </row>
    <row r="17" spans="1:9" s="172" customFormat="1" ht="15.75" hidden="1" customHeight="1">
      <c r="A17" s="162"/>
      <c r="B17" s="162"/>
      <c r="C17" s="162"/>
      <c r="D17" s="145" t="s">
        <v>1245</v>
      </c>
      <c r="E17" s="148" t="e">
        <f>SUM(F17:H17)</f>
        <v>#REF!</v>
      </c>
      <c r="F17" s="154">
        <f>TB!G14</f>
        <v>0</v>
      </c>
      <c r="G17" s="154">
        <f>[2]TB!G14</f>
        <v>0</v>
      </c>
      <c r="H17" s="199" t="e">
        <f>[1]Sheet1!M15</f>
        <v>#REF!</v>
      </c>
      <c r="I17" s="194">
        <f>+G17-[2]BS!$F$11</f>
        <v>-106555897.00999995</v>
      </c>
    </row>
    <row r="18" spans="1:9" s="172" customFormat="1" ht="15.75" customHeight="1">
      <c r="A18" s="162"/>
      <c r="B18" s="162"/>
      <c r="C18" s="162"/>
      <c r="D18" s="145" t="s">
        <v>1036</v>
      </c>
      <c r="E18" s="148" t="e">
        <f>SUM(F18:H18)</f>
        <v>#REF!</v>
      </c>
      <c r="F18" s="154">
        <f>TB!G16</f>
        <v>-0.80000000004656613</v>
      </c>
      <c r="G18" s="154">
        <f>[2]TB!G16</f>
        <v>11756.520000000251</v>
      </c>
      <c r="H18" s="199" t="e">
        <f>[1]Sheet1!M16</f>
        <v>#REF!</v>
      </c>
      <c r="I18" s="194">
        <f>+G18-[2]BS!$F$16</f>
        <v>0</v>
      </c>
    </row>
    <row r="19" spans="1:9" s="194" customFormat="1" ht="15.75" customHeight="1">
      <c r="A19" s="178"/>
      <c r="B19" s="178"/>
      <c r="C19" s="178" t="s">
        <v>1246</v>
      </c>
      <c r="D19" s="178"/>
      <c r="E19" s="195" t="e">
        <f>SUM(E20:E23)</f>
        <v>#REF!</v>
      </c>
      <c r="F19" s="196">
        <f>SUM(F20:F23)</f>
        <v>14332535.340000002</v>
      </c>
      <c r="G19" s="196">
        <f>SUM(G20:G23)</f>
        <v>106544140.48999995</v>
      </c>
      <c r="H19" s="198" t="e">
        <f>SUM(H20:H23)</f>
        <v>#REF!</v>
      </c>
      <c r="I19" s="194">
        <f>+G19-[2]BS!$F$17</f>
        <v>0</v>
      </c>
    </row>
    <row r="20" spans="1:9" s="172" customFormat="1" ht="15.75" hidden="1" customHeight="1">
      <c r="A20" s="162"/>
      <c r="B20" s="162"/>
      <c r="C20" s="162"/>
      <c r="D20" s="145" t="s">
        <v>1921</v>
      </c>
      <c r="E20" s="148" t="e">
        <f>SUM(F20:H20)</f>
        <v>#REF!</v>
      </c>
      <c r="F20" s="154">
        <f>TB!G17</f>
        <v>0</v>
      </c>
      <c r="G20" s="154">
        <f>[2]TB!G17</f>
        <v>0</v>
      </c>
      <c r="H20" s="199" t="e">
        <f>[1]Sheet1!M17</f>
        <v>#REF!</v>
      </c>
      <c r="I20" s="194">
        <f>+G20-[2]BS!$F$11</f>
        <v>-106555897.00999995</v>
      </c>
    </row>
    <row r="21" spans="1:9" s="172" customFormat="1" ht="15.75" customHeight="1">
      <c r="A21" s="162"/>
      <c r="B21" s="162"/>
      <c r="C21" s="162"/>
      <c r="D21" s="145" t="s">
        <v>1922</v>
      </c>
      <c r="E21" s="148" t="e">
        <f>SUM(F21:H21)</f>
        <v>#REF!</v>
      </c>
      <c r="F21" s="154">
        <f>TB!G18</f>
        <v>14332535.340000002</v>
      </c>
      <c r="G21" s="154">
        <f>[2]TB!G18</f>
        <v>102209022.40999995</v>
      </c>
      <c r="H21" s="199" t="e">
        <f>[1]Sheet1!M18</f>
        <v>#REF!</v>
      </c>
      <c r="I21" s="194">
        <f>+G21-[2]BS!$F$19</f>
        <v>0</v>
      </c>
    </row>
    <row r="22" spans="1:9" s="172" customFormat="1" ht="15.75" customHeight="1">
      <c r="A22" s="162"/>
      <c r="B22" s="162"/>
      <c r="C22" s="162"/>
      <c r="D22" s="145" t="s">
        <v>472</v>
      </c>
      <c r="E22" s="148" t="e">
        <f>SUM(F22:H22)</f>
        <v>#REF!</v>
      </c>
      <c r="F22" s="154">
        <f>TB!G19</f>
        <v>0</v>
      </c>
      <c r="G22" s="154">
        <f>[2]TB!G19</f>
        <v>4335118.0799999982</v>
      </c>
      <c r="H22" s="199" t="e">
        <f>[1]Sheet1!M19</f>
        <v>#REF!</v>
      </c>
      <c r="I22" s="194">
        <f>+G22-[2]BS!$F$20</f>
        <v>0</v>
      </c>
    </row>
    <row r="23" spans="1:9" s="172" customFormat="1" ht="15.75" hidden="1" customHeight="1">
      <c r="A23" s="162"/>
      <c r="B23" s="162"/>
      <c r="C23" s="162"/>
      <c r="D23" s="145" t="s">
        <v>1086</v>
      </c>
      <c r="E23" s="148" t="e">
        <f>SUM(F23:H23)</f>
        <v>#REF!</v>
      </c>
      <c r="F23" s="154">
        <f>TB!G20</f>
        <v>0</v>
      </c>
      <c r="G23" s="154">
        <f>[2]TB!G20</f>
        <v>0</v>
      </c>
      <c r="H23" s="199" t="e">
        <f>[1]Sheet1!M20</f>
        <v>#REF!</v>
      </c>
      <c r="I23" s="194">
        <f>+G23-[2]BS!$F$11</f>
        <v>-106555897.00999995</v>
      </c>
    </row>
    <row r="24" spans="1:9" s="194" customFormat="1" ht="15.75" hidden="1" customHeight="1">
      <c r="A24" s="178"/>
      <c r="B24" s="178"/>
      <c r="C24" s="178" t="s">
        <v>473</v>
      </c>
      <c r="D24" s="178"/>
      <c r="E24" s="195" t="e">
        <f>SUM(E25:E28)</f>
        <v>#REF!</v>
      </c>
      <c r="F24" s="196">
        <f>SUM(F25:F28)</f>
        <v>0</v>
      </c>
      <c r="G24" s="196">
        <f>SUM(G25:G28)</f>
        <v>0</v>
      </c>
      <c r="H24" s="198" t="e">
        <f>SUM(H25:H28)</f>
        <v>#REF!</v>
      </c>
      <c r="I24" s="194">
        <f>+G24-[2]BS!$F$11</f>
        <v>-106555897.00999995</v>
      </c>
    </row>
    <row r="25" spans="1:9" s="172" customFormat="1" ht="15.75" hidden="1" customHeight="1">
      <c r="A25" s="162"/>
      <c r="B25" s="162"/>
      <c r="C25" s="162"/>
      <c r="D25" s="145" t="s">
        <v>1921</v>
      </c>
      <c r="E25" s="148" t="e">
        <f>SUM(F25:H25)</f>
        <v>#REF!</v>
      </c>
      <c r="F25" s="154">
        <f>TB!G21</f>
        <v>0</v>
      </c>
      <c r="G25" s="154">
        <f>[2]TB!G21</f>
        <v>0</v>
      </c>
      <c r="H25" s="199" t="e">
        <f>[1]Sheet1!M21</f>
        <v>#REF!</v>
      </c>
      <c r="I25" s="194">
        <f>+G25-[2]BS!$F$11</f>
        <v>-106555897.00999995</v>
      </c>
    </row>
    <row r="26" spans="1:9" s="172" customFormat="1" ht="15.75" hidden="1" customHeight="1">
      <c r="A26" s="162"/>
      <c r="B26" s="162"/>
      <c r="C26" s="162"/>
      <c r="D26" s="145" t="s">
        <v>1087</v>
      </c>
      <c r="E26" s="148" t="e">
        <f>SUM(F26:H26)</f>
        <v>#REF!</v>
      </c>
      <c r="F26" s="154">
        <f>TB!G22</f>
        <v>0</v>
      </c>
      <c r="G26" s="154">
        <f>[2]TB!G22</f>
        <v>0</v>
      </c>
      <c r="H26" s="199" t="e">
        <f>[1]Sheet1!M22</f>
        <v>#REF!</v>
      </c>
      <c r="I26" s="194">
        <f>+G26-[2]BS!$F$11</f>
        <v>-106555897.00999995</v>
      </c>
    </row>
    <row r="27" spans="1:9" s="172" customFormat="1" ht="15.75" hidden="1" customHeight="1">
      <c r="A27" s="162"/>
      <c r="B27" s="162"/>
      <c r="C27" s="162"/>
      <c r="D27" s="145" t="s">
        <v>1088</v>
      </c>
      <c r="E27" s="148" t="e">
        <f>SUM(F27:H27)</f>
        <v>#REF!</v>
      </c>
      <c r="F27" s="154">
        <f>TB!G23</f>
        <v>0</v>
      </c>
      <c r="G27" s="154">
        <f>[2]TB!G23</f>
        <v>0</v>
      </c>
      <c r="H27" s="199" t="e">
        <f>[1]Sheet1!M23</f>
        <v>#REF!</v>
      </c>
      <c r="I27" s="194">
        <f>+G27-[2]BS!$F$11</f>
        <v>-106555897.00999995</v>
      </c>
    </row>
    <row r="28" spans="1:9" s="172" customFormat="1" ht="15.75" hidden="1" customHeight="1">
      <c r="A28" s="162"/>
      <c r="B28" s="162"/>
      <c r="C28" s="162"/>
      <c r="D28" s="145" t="s">
        <v>1090</v>
      </c>
      <c r="E28" s="148" t="e">
        <f>SUM(F28:H28)</f>
        <v>#REF!</v>
      </c>
      <c r="F28" s="154">
        <f>TB!G24</f>
        <v>0</v>
      </c>
      <c r="G28" s="154">
        <f>[2]TB!G24</f>
        <v>0</v>
      </c>
      <c r="H28" s="199" t="e">
        <f>[1]Sheet1!M24</f>
        <v>#REF!</v>
      </c>
      <c r="I28" s="194">
        <f>+G28-[2]BS!$F$11</f>
        <v>-106555897.00999995</v>
      </c>
    </row>
    <row r="29" spans="1:9" s="194" customFormat="1" ht="15.75" customHeight="1">
      <c r="A29" s="178"/>
      <c r="B29" s="178" t="s">
        <v>474</v>
      </c>
      <c r="C29" s="178"/>
      <c r="D29" s="200"/>
      <c r="E29" s="195" t="e">
        <f>+E30+E41+E46+E48</f>
        <v>#REF!</v>
      </c>
      <c r="F29" s="196">
        <f>+F30+F41+F46+F48</f>
        <v>-90015.399999999907</v>
      </c>
      <c r="G29" s="196">
        <f>+G30+G41+G46+G48</f>
        <v>35446067.229999974</v>
      </c>
      <c r="H29" s="198" t="e">
        <f>+H30+H41+H46+H48</f>
        <v>#REF!</v>
      </c>
      <c r="I29" s="194">
        <f>+G29-[2]BS!$F$27</f>
        <v>0</v>
      </c>
    </row>
    <row r="30" spans="1:9" s="194" customFormat="1" ht="15.75" customHeight="1">
      <c r="A30" s="178"/>
      <c r="B30" s="178"/>
      <c r="C30" s="178" t="s">
        <v>475</v>
      </c>
      <c r="D30" s="200"/>
      <c r="E30" s="195" t="e">
        <f>SUM(E33:E40)+E31-E32</f>
        <v>#REF!</v>
      </c>
      <c r="F30" s="196">
        <f>SUM(F33:F40)+F31-F32</f>
        <v>189984.60000000009</v>
      </c>
      <c r="G30" s="196">
        <f>SUM(G33:G40)+G31-G32</f>
        <v>31847668.909999974</v>
      </c>
      <c r="H30" s="198" t="e">
        <f>SUM(H33:H40)+H31-H32</f>
        <v>#REF!</v>
      </c>
      <c r="I30" s="194">
        <f>+G30-[2]BS!$F$28</f>
        <v>0</v>
      </c>
    </row>
    <row r="31" spans="1:9" s="172" customFormat="1" ht="15.75" hidden="1" customHeight="1">
      <c r="A31" s="162"/>
      <c r="B31" s="162"/>
      <c r="C31" s="162"/>
      <c r="D31" s="145" t="s">
        <v>1092</v>
      </c>
      <c r="E31" s="148" t="e">
        <f t="shared" ref="E31:E40" si="0">SUM(F31:H31)</f>
        <v>#REF!</v>
      </c>
      <c r="F31" s="154">
        <f>TB!G25</f>
        <v>0</v>
      </c>
      <c r="G31" s="154">
        <f>[2]TB!G25</f>
        <v>0</v>
      </c>
      <c r="H31" s="199" t="e">
        <f>[1]Sheet1!M25</f>
        <v>#REF!</v>
      </c>
      <c r="I31" s="194">
        <f>+G31-[2]BS!$F$11</f>
        <v>-106555897.00999995</v>
      </c>
    </row>
    <row r="32" spans="1:9" s="203" customFormat="1" ht="15.75" hidden="1" customHeight="1">
      <c r="A32" s="201"/>
      <c r="B32" s="201"/>
      <c r="C32" s="201"/>
      <c r="D32" s="159" t="s">
        <v>1094</v>
      </c>
      <c r="E32" s="154" t="e">
        <f t="shared" si="0"/>
        <v>#REF!</v>
      </c>
      <c r="F32" s="154">
        <f>TB!G26</f>
        <v>0</v>
      </c>
      <c r="G32" s="154">
        <f>[2]TB!G26</f>
        <v>0</v>
      </c>
      <c r="H32" s="202" t="e">
        <f>[1]Sheet1!N26</f>
        <v>#REF!</v>
      </c>
      <c r="I32" s="194">
        <f>+G32-[2]BS!$F$11</f>
        <v>-106555897.00999995</v>
      </c>
    </row>
    <row r="33" spans="1:9" s="172" customFormat="1" ht="15.75" hidden="1" customHeight="1">
      <c r="A33" s="162"/>
      <c r="B33" s="162"/>
      <c r="C33" s="162"/>
      <c r="D33" s="145" t="s">
        <v>1096</v>
      </c>
      <c r="E33" s="148" t="e">
        <f t="shared" si="0"/>
        <v>#REF!</v>
      </c>
      <c r="F33" s="154">
        <f>TB!G27</f>
        <v>0</v>
      </c>
      <c r="G33" s="154">
        <f>[2]TB!G27</f>
        <v>0</v>
      </c>
      <c r="H33" s="199" t="e">
        <f>[1]Sheet1!M27</f>
        <v>#REF!</v>
      </c>
      <c r="I33" s="194">
        <f>+G33-[2]BS!$F$11</f>
        <v>-106555897.00999995</v>
      </c>
    </row>
    <row r="34" spans="1:9" s="172" customFormat="1" ht="15.75" customHeight="1">
      <c r="A34" s="162"/>
      <c r="B34" s="162"/>
      <c r="C34" s="162"/>
      <c r="D34" s="145" t="s">
        <v>476</v>
      </c>
      <c r="E34" s="148" t="e">
        <f t="shared" si="0"/>
        <v>#REF!</v>
      </c>
      <c r="F34" s="154">
        <f>TB!G41</f>
        <v>189984.60000000009</v>
      </c>
      <c r="G34" s="154">
        <f>[2]TB!G41</f>
        <v>31847668.909999974</v>
      </c>
      <c r="H34" s="199" t="e">
        <f>[1]Sheet1!M28</f>
        <v>#REF!</v>
      </c>
      <c r="I34" s="194">
        <f>+G34-[2]BS!$F$32</f>
        <v>0</v>
      </c>
    </row>
    <row r="35" spans="1:9" s="172" customFormat="1" ht="15.75" hidden="1" customHeight="1">
      <c r="A35" s="162"/>
      <c r="B35" s="162"/>
      <c r="C35" s="162"/>
      <c r="D35" s="145" t="s">
        <v>406</v>
      </c>
      <c r="E35" s="148" t="e">
        <f t="shared" si="0"/>
        <v>#REF!</v>
      </c>
      <c r="F35" s="154">
        <f>TB!G29</f>
        <v>0</v>
      </c>
      <c r="G35" s="154">
        <f>[2]TB!G29</f>
        <v>0</v>
      </c>
      <c r="H35" s="199" t="e">
        <f>[1]Sheet1!M29</f>
        <v>#REF!</v>
      </c>
      <c r="I35" s="194">
        <f>+G35-[2]BS!$F$11</f>
        <v>-106555897.00999995</v>
      </c>
    </row>
    <row r="36" spans="1:9" s="172" customFormat="1" ht="15.75" hidden="1" customHeight="1">
      <c r="A36" s="162"/>
      <c r="B36" s="162"/>
      <c r="C36" s="162"/>
      <c r="D36" s="145" t="s">
        <v>408</v>
      </c>
      <c r="E36" s="148" t="e">
        <f t="shared" si="0"/>
        <v>#REF!</v>
      </c>
      <c r="F36" s="154">
        <f>TB!G30</f>
        <v>0</v>
      </c>
      <c r="G36" s="154">
        <f>[2]TB!G30</f>
        <v>0</v>
      </c>
      <c r="H36" s="199" t="e">
        <f>[1]Sheet1!M30</f>
        <v>#REF!</v>
      </c>
      <c r="I36" s="194">
        <f>+G36-[2]BS!$F$11</f>
        <v>-106555897.00999995</v>
      </c>
    </row>
    <row r="37" spans="1:9" s="172" customFormat="1" ht="15.75" hidden="1" customHeight="1">
      <c r="A37" s="162"/>
      <c r="B37" s="162"/>
      <c r="C37" s="162"/>
      <c r="D37" s="145" t="s">
        <v>410</v>
      </c>
      <c r="E37" s="148" t="e">
        <f t="shared" si="0"/>
        <v>#REF!</v>
      </c>
      <c r="F37" s="154">
        <f>TB!G31</f>
        <v>0</v>
      </c>
      <c r="G37" s="154">
        <f>[2]TB!G31</f>
        <v>0</v>
      </c>
      <c r="H37" s="199" t="e">
        <f>[1]Sheet1!M31</f>
        <v>#REF!</v>
      </c>
      <c r="I37" s="194">
        <f>+G37-[2]BS!$F$11</f>
        <v>-106555897.00999995</v>
      </c>
    </row>
    <row r="38" spans="1:9" s="172" customFormat="1" ht="15.75" hidden="1" customHeight="1">
      <c r="A38" s="162"/>
      <c r="B38" s="162"/>
      <c r="C38" s="162"/>
      <c r="D38" s="145" t="s">
        <v>1891</v>
      </c>
      <c r="E38" s="148" t="e">
        <f t="shared" si="0"/>
        <v>#REF!</v>
      </c>
      <c r="F38" s="154">
        <f>TB!G32</f>
        <v>0</v>
      </c>
      <c r="G38" s="154">
        <f>[2]TB!G32</f>
        <v>0</v>
      </c>
      <c r="H38" s="199" t="e">
        <f>[1]Sheet1!M32</f>
        <v>#REF!</v>
      </c>
      <c r="I38" s="194">
        <f>+G38-[2]BS!$F$11</f>
        <v>-106555897.00999995</v>
      </c>
    </row>
    <row r="39" spans="1:9" s="172" customFormat="1" ht="15.75" hidden="1" customHeight="1">
      <c r="A39" s="162"/>
      <c r="B39" s="162"/>
      <c r="C39" s="162"/>
      <c r="D39" s="145" t="s">
        <v>1893</v>
      </c>
      <c r="E39" s="148" t="e">
        <f t="shared" si="0"/>
        <v>#REF!</v>
      </c>
      <c r="F39" s="154">
        <f>TB!G33</f>
        <v>0</v>
      </c>
      <c r="G39" s="154">
        <f>[2]TB!G33</f>
        <v>0</v>
      </c>
      <c r="H39" s="199" t="e">
        <f>[1]Sheet1!M33</f>
        <v>#REF!</v>
      </c>
      <c r="I39" s="194">
        <f>+G39-[2]BS!$F$11</f>
        <v>-106555897.00999995</v>
      </c>
    </row>
    <row r="40" spans="1:9" s="172" customFormat="1" ht="15.75" hidden="1" customHeight="1">
      <c r="A40" s="162"/>
      <c r="B40" s="162"/>
      <c r="C40" s="162"/>
      <c r="D40" s="145" t="s">
        <v>1103</v>
      </c>
      <c r="E40" s="148" t="e">
        <f t="shared" si="0"/>
        <v>#REF!</v>
      </c>
      <c r="F40" s="154">
        <f>TB!G34</f>
        <v>0</v>
      </c>
      <c r="G40" s="154">
        <f>[2]TB!G34</f>
        <v>0</v>
      </c>
      <c r="H40" s="199" t="e">
        <f>[1]Sheet1!M34</f>
        <v>#REF!</v>
      </c>
      <c r="I40" s="194">
        <f>+G40-[2]BS!$F$11</f>
        <v>-106555897.00999995</v>
      </c>
    </row>
    <row r="41" spans="1:9" s="194" customFormat="1" ht="15.75" customHeight="1">
      <c r="A41" s="178"/>
      <c r="B41" s="178"/>
      <c r="C41" s="178" t="s">
        <v>477</v>
      </c>
      <c r="D41" s="200"/>
      <c r="E41" s="195" t="e">
        <f>SUM(E42:E45)</f>
        <v>#REF!</v>
      </c>
      <c r="F41" s="196">
        <f>SUM(F42:F45)</f>
        <v>-280000</v>
      </c>
      <c r="G41" s="196">
        <f>SUM(G42:G45)</f>
        <v>3285964.4299999997</v>
      </c>
      <c r="H41" s="198" t="e">
        <f>SUM(H42:H45)</f>
        <v>#REF!</v>
      </c>
      <c r="I41" s="194">
        <f>+G41-[2]BS!$F$39</f>
        <v>0</v>
      </c>
    </row>
    <row r="42" spans="1:9" s="172" customFormat="1" ht="15.75" hidden="1" customHeight="1">
      <c r="A42" s="162"/>
      <c r="B42" s="162"/>
      <c r="C42" s="162"/>
      <c r="D42" s="145" t="s">
        <v>1105</v>
      </c>
      <c r="E42" s="148" t="e">
        <f>SUM(F42:H42)</f>
        <v>#REF!</v>
      </c>
      <c r="F42" s="154">
        <f>TB!G35</f>
        <v>0</v>
      </c>
      <c r="G42" s="154">
        <f>[2]TB!G35</f>
        <v>0</v>
      </c>
      <c r="H42" s="199" t="e">
        <f>[1]Sheet1!M35</f>
        <v>#REF!</v>
      </c>
      <c r="I42" s="194">
        <f>+G42-[2]BS!$F$11</f>
        <v>-106555897.00999995</v>
      </c>
    </row>
    <row r="43" spans="1:9" s="172" customFormat="1" ht="15.75" hidden="1" customHeight="1">
      <c r="A43" s="162"/>
      <c r="B43" s="162"/>
      <c r="C43" s="162"/>
      <c r="D43" s="145" t="s">
        <v>1107</v>
      </c>
      <c r="E43" s="148" t="e">
        <f>SUM(F43:H43)</f>
        <v>#REF!</v>
      </c>
      <c r="F43" s="154">
        <f>TB!G36</f>
        <v>0</v>
      </c>
      <c r="G43" s="154">
        <f>[2]TB!G36</f>
        <v>0</v>
      </c>
      <c r="H43" s="199" t="e">
        <f>[1]Sheet1!M36</f>
        <v>#REF!</v>
      </c>
      <c r="I43" s="194">
        <f>+G43-[2]BS!$F$11</f>
        <v>-106555897.00999995</v>
      </c>
    </row>
    <row r="44" spans="1:9" s="172" customFormat="1" ht="15.75" customHeight="1">
      <c r="A44" s="162"/>
      <c r="B44" s="162"/>
      <c r="C44" s="162"/>
      <c r="D44" s="145" t="s">
        <v>1109</v>
      </c>
      <c r="E44" s="148" t="e">
        <f>SUM(F44:H44)</f>
        <v>#REF!</v>
      </c>
      <c r="F44" s="154">
        <f>TB!G37</f>
        <v>0</v>
      </c>
      <c r="G44" s="154">
        <f>[2]TB!G37</f>
        <v>1183464.43</v>
      </c>
      <c r="H44" s="199" t="e">
        <f>[1]Sheet1!M37</f>
        <v>#REF!</v>
      </c>
      <c r="I44" s="194">
        <f>+G44-[2]BS!$F$42</f>
        <v>0</v>
      </c>
    </row>
    <row r="45" spans="1:9" s="172" customFormat="1" ht="15.75" customHeight="1">
      <c r="A45" s="162"/>
      <c r="B45" s="162"/>
      <c r="C45" s="162"/>
      <c r="D45" s="145" t="s">
        <v>1110</v>
      </c>
      <c r="E45" s="148" t="e">
        <f>SUM(F45:H45)</f>
        <v>#REF!</v>
      </c>
      <c r="F45" s="154">
        <f>TB!G38</f>
        <v>-280000</v>
      </c>
      <c r="G45" s="154">
        <f>[2]TB!G38</f>
        <v>2102500</v>
      </c>
      <c r="H45" s="199" t="e">
        <f>[1]Sheet1!M38</f>
        <v>#REF!</v>
      </c>
      <c r="I45" s="194">
        <f>+G45-[2]BS!$F$43</f>
        <v>0</v>
      </c>
    </row>
    <row r="46" spans="1:9" s="194" customFormat="1" ht="15.75" hidden="1" customHeight="1">
      <c r="A46" s="178"/>
      <c r="B46" s="178"/>
      <c r="C46" s="178" t="s">
        <v>478</v>
      </c>
      <c r="D46" s="200"/>
      <c r="E46" s="195" t="e">
        <f>+E47</f>
        <v>#REF!</v>
      </c>
      <c r="F46" s="196">
        <f>+F47</f>
        <v>0</v>
      </c>
      <c r="G46" s="196">
        <f>+G47</f>
        <v>0</v>
      </c>
      <c r="H46" s="198" t="e">
        <f>+H47</f>
        <v>#REF!</v>
      </c>
      <c r="I46" s="194">
        <f>+G46-[2]BS!$F$11</f>
        <v>-106555897.00999995</v>
      </c>
    </row>
    <row r="47" spans="1:9" s="172" customFormat="1" ht="15.75" hidden="1" customHeight="1">
      <c r="A47" s="162"/>
      <c r="B47" s="162"/>
      <c r="C47" s="162"/>
      <c r="D47" s="145" t="s">
        <v>1112</v>
      </c>
      <c r="E47" s="148" t="e">
        <f>SUM(F47:H47)</f>
        <v>#REF!</v>
      </c>
      <c r="F47" s="154">
        <f>TB!G39</f>
        <v>0</v>
      </c>
      <c r="G47" s="154">
        <f>[2]TB!G39</f>
        <v>0</v>
      </c>
      <c r="H47" s="199" t="e">
        <f>[1]Sheet1!M39</f>
        <v>#REF!</v>
      </c>
      <c r="I47" s="194">
        <f>+G47-[2]BS!$F$11</f>
        <v>-106555897.00999995</v>
      </c>
    </row>
    <row r="48" spans="1:9" s="194" customFormat="1" ht="15.75" customHeight="1">
      <c r="A48" s="178"/>
      <c r="B48" s="178"/>
      <c r="C48" s="178" t="s">
        <v>479</v>
      </c>
      <c r="D48" s="200"/>
      <c r="E48" s="195" t="e">
        <f>SUM(E49:E50)</f>
        <v>#REF!</v>
      </c>
      <c r="F48" s="196">
        <f>SUM(F49:F50)</f>
        <v>0</v>
      </c>
      <c r="G48" s="196">
        <f>SUM(G49:G50)</f>
        <v>312433.88999999996</v>
      </c>
      <c r="H48" s="198" t="e">
        <f>SUM(H49:H50)</f>
        <v>#REF!</v>
      </c>
      <c r="I48" s="194">
        <f>+G48-[2]BS!$F$46</f>
        <v>0</v>
      </c>
    </row>
    <row r="49" spans="1:9" s="172" customFormat="1" ht="15.75" hidden="1" customHeight="1">
      <c r="A49" s="162"/>
      <c r="B49" s="162"/>
      <c r="C49" s="162"/>
      <c r="D49" s="145" t="s">
        <v>1113</v>
      </c>
      <c r="E49" s="148" t="e">
        <f>SUM(F49:H49)</f>
        <v>#REF!</v>
      </c>
      <c r="F49" s="154">
        <f>TB!G40</f>
        <v>0</v>
      </c>
      <c r="G49" s="154">
        <f>[2]TB!G40</f>
        <v>0</v>
      </c>
      <c r="H49" s="199" t="e">
        <f>[1]Sheet1!M40</f>
        <v>#REF!</v>
      </c>
      <c r="I49" s="194">
        <f>+G49-[2]BS!$F$11</f>
        <v>-106555897.00999995</v>
      </c>
    </row>
    <row r="50" spans="1:9" s="172" customFormat="1" ht="15.75" customHeight="1">
      <c r="A50" s="162"/>
      <c r="B50" s="162"/>
      <c r="C50" s="162"/>
      <c r="D50" s="145" t="s">
        <v>1117</v>
      </c>
      <c r="E50" s="148" t="e">
        <f>SUM(F50:H50)</f>
        <v>#REF!</v>
      </c>
      <c r="F50" s="154">
        <f>TB!G42</f>
        <v>0</v>
      </c>
      <c r="G50" s="154">
        <f>[2]TB!G42</f>
        <v>312433.88999999996</v>
      </c>
      <c r="H50" s="199" t="e">
        <f>[1]Sheet1!M41</f>
        <v>#REF!</v>
      </c>
      <c r="I50" s="194">
        <f>+G50-[2]BS!$F$48</f>
        <v>0</v>
      </c>
    </row>
    <row r="51" spans="1:9" s="194" customFormat="1" ht="15.75" hidden="1" customHeight="1">
      <c r="A51" s="178"/>
      <c r="B51" s="178" t="s">
        <v>480</v>
      </c>
      <c r="C51" s="178"/>
      <c r="D51" s="200"/>
      <c r="E51" s="195" t="e">
        <f>+E52+E57+E72</f>
        <v>#REF!</v>
      </c>
      <c r="F51" s="196">
        <f>+F52+F57+F72</f>
        <v>2317392</v>
      </c>
      <c r="G51" s="196">
        <f>+G52+G57+G72</f>
        <v>0</v>
      </c>
      <c r="H51" s="198" t="e">
        <f>+H52+H57+H72</f>
        <v>#REF!</v>
      </c>
      <c r="I51" s="194">
        <f>+G51-[2]BS!$F$11</f>
        <v>-106555897.00999995</v>
      </c>
    </row>
    <row r="52" spans="1:9" s="194" customFormat="1" ht="15.75" hidden="1" customHeight="1">
      <c r="A52" s="178"/>
      <c r="B52" s="178"/>
      <c r="C52" s="178" t="s">
        <v>481</v>
      </c>
      <c r="D52" s="200"/>
      <c r="E52" s="195" t="e">
        <f>SUM(E53:E56)</f>
        <v>#REF!</v>
      </c>
      <c r="F52" s="196">
        <f>SUM(F53:F56)</f>
        <v>0</v>
      </c>
      <c r="G52" s="196">
        <f>SUM(G53:G56)</f>
        <v>0</v>
      </c>
      <c r="H52" s="198" t="e">
        <f>SUM(H53:H56)</f>
        <v>#REF!</v>
      </c>
      <c r="I52" s="194">
        <f>+G52-[2]BS!$F$11</f>
        <v>-106555897.00999995</v>
      </c>
    </row>
    <row r="53" spans="1:9" s="172" customFormat="1" ht="15.75" hidden="1" customHeight="1">
      <c r="A53" s="162"/>
      <c r="B53" s="162"/>
      <c r="C53" s="162"/>
      <c r="D53" s="145" t="s">
        <v>1765</v>
      </c>
      <c r="E53" s="148" t="e">
        <f>SUM(F53:H53)</f>
        <v>#REF!</v>
      </c>
      <c r="F53" s="154">
        <f>TB!G43</f>
        <v>0</v>
      </c>
      <c r="G53" s="154">
        <f>[2]TB!G43</f>
        <v>0</v>
      </c>
      <c r="H53" s="199" t="e">
        <f>[1]Sheet1!M42</f>
        <v>#REF!</v>
      </c>
      <c r="I53" s="194">
        <f>+G53-[2]BS!$F$11</f>
        <v>-106555897.00999995</v>
      </c>
    </row>
    <row r="54" spans="1:9" s="172" customFormat="1" ht="15.75" hidden="1" customHeight="1">
      <c r="A54" s="162"/>
      <c r="B54" s="162"/>
      <c r="C54" s="162"/>
      <c r="D54" s="145" t="s">
        <v>1767</v>
      </c>
      <c r="E54" s="148" t="e">
        <f>SUM(F54:H54)</f>
        <v>#REF!</v>
      </c>
      <c r="F54" s="154">
        <f>TB!G44</f>
        <v>0</v>
      </c>
      <c r="G54" s="154">
        <f>[2]TB!G44</f>
        <v>0</v>
      </c>
      <c r="H54" s="199" t="e">
        <f>[1]Sheet1!M43</f>
        <v>#REF!</v>
      </c>
      <c r="I54" s="194">
        <f>+G54-[2]BS!$F$11</f>
        <v>-106555897.00999995</v>
      </c>
    </row>
    <row r="55" spans="1:9" s="172" customFormat="1" ht="15.75" hidden="1" customHeight="1">
      <c r="A55" s="162"/>
      <c r="B55" s="162"/>
      <c r="C55" s="162"/>
      <c r="D55" s="145" t="s">
        <v>1769</v>
      </c>
      <c r="E55" s="148" t="e">
        <f>SUM(F55:H55)</f>
        <v>#REF!</v>
      </c>
      <c r="F55" s="154">
        <f>TB!G45</f>
        <v>0</v>
      </c>
      <c r="G55" s="154">
        <f>[2]TB!G45</f>
        <v>0</v>
      </c>
      <c r="H55" s="199" t="e">
        <f>[1]Sheet1!M44</f>
        <v>#REF!</v>
      </c>
      <c r="I55" s="194">
        <f>+G55-[2]BS!$F$11</f>
        <v>-106555897.00999995</v>
      </c>
    </row>
    <row r="56" spans="1:9" s="172" customFormat="1" ht="15.75" hidden="1" customHeight="1">
      <c r="A56" s="162"/>
      <c r="B56" s="162"/>
      <c r="C56" s="162"/>
      <c r="D56" s="145" t="s">
        <v>1771</v>
      </c>
      <c r="E56" s="148" t="e">
        <f>SUM(F56:H56)</f>
        <v>#REF!</v>
      </c>
      <c r="F56" s="154">
        <f>TB!G46</f>
        <v>0</v>
      </c>
      <c r="G56" s="154">
        <f>[2]TB!G46</f>
        <v>0</v>
      </c>
      <c r="H56" s="199" t="e">
        <f>[1]Sheet1!M45</f>
        <v>#REF!</v>
      </c>
      <c r="I56" s="194">
        <f>+G56-[2]BS!$F$11</f>
        <v>-106555897.00999995</v>
      </c>
    </row>
    <row r="57" spans="1:9" s="194" customFormat="1" ht="15.75" hidden="1" customHeight="1">
      <c r="A57" s="178"/>
      <c r="B57" s="178"/>
      <c r="C57" s="178" t="s">
        <v>482</v>
      </c>
      <c r="D57" s="200"/>
      <c r="E57" s="195" t="e">
        <f>SUM(E58:E71)</f>
        <v>#REF!</v>
      </c>
      <c r="F57" s="196">
        <f>SUM(F58:F71)</f>
        <v>2317392</v>
      </c>
      <c r="G57" s="196">
        <f>SUM(G58:G71)</f>
        <v>0</v>
      </c>
      <c r="H57" s="198" t="e">
        <f>SUM(H58:H71)</f>
        <v>#REF!</v>
      </c>
      <c r="I57" s="194">
        <f>+G57-[2]BS!$F$11</f>
        <v>-106555897.00999995</v>
      </c>
    </row>
    <row r="58" spans="1:9" s="172" customFormat="1" ht="15.75" hidden="1" customHeight="1">
      <c r="A58" s="162"/>
      <c r="B58" s="162"/>
      <c r="C58" s="162"/>
      <c r="D58" s="145" t="s">
        <v>1773</v>
      </c>
      <c r="E58" s="148" t="e">
        <f t="shared" ref="E58:E71" si="1">SUM(F58:H58)</f>
        <v>#REF!</v>
      </c>
      <c r="F58" s="154">
        <f>TB!G47</f>
        <v>0</v>
      </c>
      <c r="G58" s="154">
        <f>[2]TB!G47</f>
        <v>0</v>
      </c>
      <c r="H58" s="199" t="e">
        <f>[1]Sheet1!M46</f>
        <v>#REF!</v>
      </c>
      <c r="I58" s="194">
        <f>+G58-[2]BS!$F$11</f>
        <v>-106555897.00999995</v>
      </c>
    </row>
    <row r="59" spans="1:9" s="172" customFormat="1" ht="15.75" hidden="1" customHeight="1">
      <c r="A59" s="162"/>
      <c r="B59" s="162"/>
      <c r="C59" s="162"/>
      <c r="D59" s="145" t="s">
        <v>1775</v>
      </c>
      <c r="E59" s="148" t="e">
        <f t="shared" si="1"/>
        <v>#REF!</v>
      </c>
      <c r="F59" s="154">
        <f>TB!G48</f>
        <v>0</v>
      </c>
      <c r="G59" s="154">
        <f>[2]TB!G48</f>
        <v>0</v>
      </c>
      <c r="H59" s="199" t="e">
        <f>[1]Sheet1!M47</f>
        <v>#REF!</v>
      </c>
      <c r="I59" s="194">
        <f>+G59-[2]BS!$F$11</f>
        <v>-106555897.00999995</v>
      </c>
    </row>
    <row r="60" spans="1:9" s="172" customFormat="1" ht="15.75" hidden="1" customHeight="1">
      <c r="A60" s="162"/>
      <c r="B60" s="162"/>
      <c r="C60" s="162"/>
      <c r="D60" s="145" t="s">
        <v>1777</v>
      </c>
      <c r="E60" s="148" t="e">
        <f t="shared" si="1"/>
        <v>#REF!</v>
      </c>
      <c r="F60" s="154">
        <f>TB!G49</f>
        <v>0</v>
      </c>
      <c r="G60" s="154">
        <f>[2]TB!G49</f>
        <v>0</v>
      </c>
      <c r="H60" s="199" t="e">
        <f>[1]Sheet1!M48</f>
        <v>#REF!</v>
      </c>
      <c r="I60" s="194">
        <f>+G60-[2]BS!$F$11</f>
        <v>-106555897.00999995</v>
      </c>
    </row>
    <row r="61" spans="1:9" s="172" customFormat="1" ht="15.75" hidden="1" customHeight="1">
      <c r="A61" s="162"/>
      <c r="B61" s="162"/>
      <c r="C61" s="162"/>
      <c r="D61" s="145" t="s">
        <v>1779</v>
      </c>
      <c r="E61" s="148" t="e">
        <f t="shared" si="1"/>
        <v>#REF!</v>
      </c>
      <c r="F61" s="154">
        <f>TB!G50</f>
        <v>0</v>
      </c>
      <c r="G61" s="154">
        <f>[2]TB!G50</f>
        <v>0</v>
      </c>
      <c r="H61" s="199" t="e">
        <f>[1]Sheet1!M49</f>
        <v>#REF!</v>
      </c>
      <c r="I61" s="194">
        <f>+G61-[2]BS!$F$11</f>
        <v>-106555897.00999995</v>
      </c>
    </row>
    <row r="62" spans="1:9" s="172" customFormat="1" ht="15.75" hidden="1" customHeight="1">
      <c r="A62" s="162"/>
      <c r="B62" s="162"/>
      <c r="C62" s="162"/>
      <c r="D62" s="145" t="s">
        <v>1781</v>
      </c>
      <c r="E62" s="148" t="e">
        <f t="shared" si="1"/>
        <v>#REF!</v>
      </c>
      <c r="F62" s="154">
        <f>TB!G51</f>
        <v>518992</v>
      </c>
      <c r="G62" s="154">
        <f>[2]TB!G51</f>
        <v>0</v>
      </c>
      <c r="H62" s="199" t="e">
        <f>[1]Sheet1!M50</f>
        <v>#REF!</v>
      </c>
      <c r="I62" s="194">
        <f>+G62-[2]BS!$F$11</f>
        <v>-106555897.00999995</v>
      </c>
    </row>
    <row r="63" spans="1:9" s="172" customFormat="1" ht="15.75" hidden="1" customHeight="1">
      <c r="A63" s="162"/>
      <c r="B63" s="162"/>
      <c r="C63" s="162"/>
      <c r="D63" s="145" t="s">
        <v>273</v>
      </c>
      <c r="E63" s="148" t="e">
        <f t="shared" si="1"/>
        <v>#REF!</v>
      </c>
      <c r="F63" s="154">
        <f>TB!G52</f>
        <v>0</v>
      </c>
      <c r="G63" s="154">
        <f>[2]TB!G52</f>
        <v>0</v>
      </c>
      <c r="H63" s="199" t="e">
        <f>[1]Sheet1!M51</f>
        <v>#REF!</v>
      </c>
      <c r="I63" s="194">
        <f>+G63-[2]BS!$F$11</f>
        <v>-106555897.00999995</v>
      </c>
    </row>
    <row r="64" spans="1:9" s="172" customFormat="1" ht="15.75" hidden="1" customHeight="1">
      <c r="A64" s="162"/>
      <c r="B64" s="162"/>
      <c r="C64" s="162"/>
      <c r="D64" s="145" t="s">
        <v>275</v>
      </c>
      <c r="E64" s="148" t="e">
        <f t="shared" si="1"/>
        <v>#REF!</v>
      </c>
      <c r="F64" s="154">
        <f>TB!G53</f>
        <v>1798400</v>
      </c>
      <c r="G64" s="154">
        <f>[2]TB!G53</f>
        <v>0</v>
      </c>
      <c r="H64" s="199" t="e">
        <f>[1]Sheet1!M52</f>
        <v>#REF!</v>
      </c>
      <c r="I64" s="194">
        <f>+G64-[2]BS!$F$11</f>
        <v>-106555897.00999995</v>
      </c>
    </row>
    <row r="65" spans="1:9" s="172" customFormat="1" ht="15.75" hidden="1" customHeight="1">
      <c r="A65" s="162"/>
      <c r="B65" s="162"/>
      <c r="C65" s="162"/>
      <c r="D65" s="145" t="s">
        <v>277</v>
      </c>
      <c r="E65" s="148" t="e">
        <f t="shared" si="1"/>
        <v>#REF!</v>
      </c>
      <c r="F65" s="154">
        <f>TB!G54</f>
        <v>0</v>
      </c>
      <c r="G65" s="154">
        <f>[2]TB!G54</f>
        <v>0</v>
      </c>
      <c r="H65" s="199" t="e">
        <f>[1]Sheet1!M53</f>
        <v>#REF!</v>
      </c>
      <c r="I65" s="194">
        <f>+G65-[2]BS!$F$11</f>
        <v>-106555897.00999995</v>
      </c>
    </row>
    <row r="66" spans="1:9" s="172" customFormat="1" ht="15.75" hidden="1" customHeight="1">
      <c r="A66" s="162"/>
      <c r="B66" s="162"/>
      <c r="C66" s="162"/>
      <c r="D66" s="145" t="s">
        <v>1003</v>
      </c>
      <c r="E66" s="148" t="e">
        <f t="shared" si="1"/>
        <v>#REF!</v>
      </c>
      <c r="F66" s="154">
        <f>TB!G55</f>
        <v>0</v>
      </c>
      <c r="G66" s="154">
        <f>[2]TB!G55</f>
        <v>0</v>
      </c>
      <c r="H66" s="199" t="e">
        <f>[1]Sheet1!M54</f>
        <v>#REF!</v>
      </c>
      <c r="I66" s="194">
        <f>+G66-[2]BS!$F$11</f>
        <v>-106555897.00999995</v>
      </c>
    </row>
    <row r="67" spans="1:9" s="172" customFormat="1" ht="15.75" hidden="1" customHeight="1">
      <c r="A67" s="162"/>
      <c r="B67" s="162"/>
      <c r="C67" s="162"/>
      <c r="D67" s="145" t="s">
        <v>1005</v>
      </c>
      <c r="E67" s="148" t="e">
        <f t="shared" si="1"/>
        <v>#REF!</v>
      </c>
      <c r="F67" s="154">
        <f>TB!G56</f>
        <v>0</v>
      </c>
      <c r="G67" s="154">
        <f>[2]TB!G56</f>
        <v>0</v>
      </c>
      <c r="H67" s="199" t="e">
        <f>[1]Sheet1!M55</f>
        <v>#REF!</v>
      </c>
      <c r="I67" s="194">
        <f>+G67-[2]BS!$F$11</f>
        <v>-106555897.00999995</v>
      </c>
    </row>
    <row r="68" spans="1:9" s="172" customFormat="1" ht="15.75" hidden="1" customHeight="1">
      <c r="A68" s="162"/>
      <c r="B68" s="162"/>
      <c r="C68" s="162"/>
      <c r="D68" s="145" t="s">
        <v>2443</v>
      </c>
      <c r="E68" s="148" t="e">
        <f t="shared" si="1"/>
        <v>#REF!</v>
      </c>
      <c r="F68" s="154">
        <f>TB!G57</f>
        <v>0</v>
      </c>
      <c r="G68" s="154">
        <f>[2]TB!G57</f>
        <v>0</v>
      </c>
      <c r="H68" s="199" t="e">
        <f>[1]Sheet1!M56</f>
        <v>#REF!</v>
      </c>
      <c r="I68" s="194">
        <f>+G68-[2]BS!$F$11</f>
        <v>-106555897.00999995</v>
      </c>
    </row>
    <row r="69" spans="1:9" s="172" customFormat="1" ht="15.75" hidden="1" customHeight="1">
      <c r="A69" s="162"/>
      <c r="B69" s="162"/>
      <c r="C69" s="162"/>
      <c r="D69" s="145" t="s">
        <v>2444</v>
      </c>
      <c r="E69" s="148" t="e">
        <f t="shared" si="1"/>
        <v>#REF!</v>
      </c>
      <c r="F69" s="154">
        <f>TB!G58</f>
        <v>0</v>
      </c>
      <c r="G69" s="154">
        <f>[2]TB!G58</f>
        <v>0</v>
      </c>
      <c r="H69" s="199" t="e">
        <f>[1]Sheet1!M57</f>
        <v>#REF!</v>
      </c>
      <c r="I69" s="194">
        <f>+G69-[2]BS!$F$11</f>
        <v>-106555897.00999995</v>
      </c>
    </row>
    <row r="70" spans="1:9" s="172" customFormat="1" ht="15.75" hidden="1" customHeight="1">
      <c r="A70" s="162"/>
      <c r="B70" s="162"/>
      <c r="C70" s="162"/>
      <c r="D70" s="145" t="s">
        <v>2445</v>
      </c>
      <c r="E70" s="148" t="e">
        <f t="shared" si="1"/>
        <v>#REF!</v>
      </c>
      <c r="F70" s="154">
        <f>TB!G59</f>
        <v>0</v>
      </c>
      <c r="G70" s="154">
        <f>[2]TB!G59</f>
        <v>0</v>
      </c>
      <c r="H70" s="199" t="e">
        <f>[1]Sheet1!M58</f>
        <v>#REF!</v>
      </c>
      <c r="I70" s="194">
        <f>+G70-[2]BS!$F$11</f>
        <v>-106555897.00999995</v>
      </c>
    </row>
    <row r="71" spans="1:9" s="172" customFormat="1" ht="15.75" hidden="1" customHeight="1">
      <c r="A71" s="162"/>
      <c r="B71" s="162"/>
      <c r="C71" s="162"/>
      <c r="D71" s="145" t="s">
        <v>2446</v>
      </c>
      <c r="E71" s="148" t="e">
        <f t="shared" si="1"/>
        <v>#REF!</v>
      </c>
      <c r="F71" s="154">
        <f>TB!G60</f>
        <v>0</v>
      </c>
      <c r="G71" s="154">
        <f>[2]TB!G60</f>
        <v>0</v>
      </c>
      <c r="H71" s="199" t="e">
        <f>[1]Sheet1!M59</f>
        <v>#REF!</v>
      </c>
      <c r="I71" s="194">
        <f>+G71-[2]BS!$F$11</f>
        <v>-106555897.00999995</v>
      </c>
    </row>
    <row r="72" spans="1:9" s="194" customFormat="1" ht="15.75" hidden="1" customHeight="1">
      <c r="A72" s="178"/>
      <c r="B72" s="178"/>
      <c r="C72" s="178" t="s">
        <v>483</v>
      </c>
      <c r="D72" s="200"/>
      <c r="E72" s="195" t="e">
        <f>SUM(E73:E75)</f>
        <v>#REF!</v>
      </c>
      <c r="F72" s="196">
        <f>SUM(F73:F75)</f>
        <v>0</v>
      </c>
      <c r="G72" s="196">
        <f>SUM(G73:G75)</f>
        <v>0</v>
      </c>
      <c r="H72" s="198" t="e">
        <f>SUM(H73:H75)</f>
        <v>#REF!</v>
      </c>
      <c r="I72" s="194">
        <f>+G72-[2]BS!$F$11</f>
        <v>-106555897.00999995</v>
      </c>
    </row>
    <row r="73" spans="1:9" s="172" customFormat="1" ht="15.75" hidden="1" customHeight="1">
      <c r="A73" s="162"/>
      <c r="B73" s="162"/>
      <c r="C73" s="162"/>
      <c r="D73" s="145" t="s">
        <v>951</v>
      </c>
      <c r="E73" s="148" t="e">
        <f>SUM(F73:H73)</f>
        <v>#REF!</v>
      </c>
      <c r="F73" s="154">
        <f>TB!G61</f>
        <v>0</v>
      </c>
      <c r="G73" s="154">
        <f>[2]TB!G61</f>
        <v>0</v>
      </c>
      <c r="H73" s="199" t="e">
        <f>[1]Sheet1!M60</f>
        <v>#REF!</v>
      </c>
      <c r="I73" s="194">
        <f>+G73-[2]BS!$F$11</f>
        <v>-106555897.00999995</v>
      </c>
    </row>
    <row r="74" spans="1:9" s="172" customFormat="1" ht="15.75" hidden="1" customHeight="1">
      <c r="A74" s="162"/>
      <c r="B74" s="162"/>
      <c r="C74" s="162"/>
      <c r="D74" s="145" t="s">
        <v>953</v>
      </c>
      <c r="E74" s="148" t="e">
        <f>SUM(F74:H74)</f>
        <v>#REF!</v>
      </c>
      <c r="F74" s="154">
        <f>TB!G62</f>
        <v>0</v>
      </c>
      <c r="G74" s="154">
        <f>[2]TB!G62</f>
        <v>0</v>
      </c>
      <c r="H74" s="199" t="e">
        <f>[1]Sheet1!M61</f>
        <v>#REF!</v>
      </c>
      <c r="I74" s="194">
        <f>+G74-[2]BS!$F$11</f>
        <v>-106555897.00999995</v>
      </c>
    </row>
    <row r="75" spans="1:9" s="172" customFormat="1" ht="15.75" hidden="1" customHeight="1">
      <c r="A75" s="162"/>
      <c r="B75" s="162"/>
      <c r="C75" s="162"/>
      <c r="D75" s="145" t="s">
        <v>955</v>
      </c>
      <c r="E75" s="148" t="e">
        <f>SUM(F75:H75)</f>
        <v>#REF!</v>
      </c>
      <c r="F75" s="154">
        <f>TB!G63</f>
        <v>0</v>
      </c>
      <c r="G75" s="154">
        <f>[2]TB!G63</f>
        <v>0</v>
      </c>
      <c r="H75" s="199" t="e">
        <f>[1]Sheet1!M62</f>
        <v>#REF!</v>
      </c>
      <c r="I75" s="194">
        <f>+G75-[2]BS!$F$11</f>
        <v>-106555897.00999995</v>
      </c>
    </row>
    <row r="76" spans="1:9" s="194" customFormat="1" ht="15.75" hidden="1" customHeight="1">
      <c r="A76" s="178"/>
      <c r="B76" s="178" t="s">
        <v>484</v>
      </c>
      <c r="C76" s="178"/>
      <c r="D76" s="200"/>
      <c r="E76" s="195" t="e">
        <f>SUM(E77:E83)</f>
        <v>#REF!</v>
      </c>
      <c r="F76" s="196">
        <f>SUM(F77:F83)</f>
        <v>0</v>
      </c>
      <c r="G76" s="196">
        <f>SUM(G77:G83)</f>
        <v>0</v>
      </c>
      <c r="H76" s="198" t="e">
        <f>SUM(H77:H83)</f>
        <v>#REF!</v>
      </c>
      <c r="I76" s="194">
        <f>+G76-[2]BS!$F$11</f>
        <v>-106555897.00999995</v>
      </c>
    </row>
    <row r="77" spans="1:9" s="172" customFormat="1" ht="15.75" hidden="1" customHeight="1">
      <c r="A77" s="162"/>
      <c r="B77" s="162"/>
      <c r="C77" s="145" t="s">
        <v>957</v>
      </c>
      <c r="D77" s="162"/>
      <c r="E77" s="148" t="e">
        <f t="shared" ref="E77:E83" si="2">SUM(F77:H77)</f>
        <v>#REF!</v>
      </c>
      <c r="F77" s="154">
        <f>TB!G64</f>
        <v>0</v>
      </c>
      <c r="G77" s="154">
        <f>[2]TB!G64</f>
        <v>0</v>
      </c>
      <c r="H77" s="199" t="e">
        <f>[1]Sheet1!M63</f>
        <v>#REF!</v>
      </c>
      <c r="I77" s="194">
        <f>+G77-[2]BS!$F$11</f>
        <v>-106555897.00999995</v>
      </c>
    </row>
    <row r="78" spans="1:9" s="172" customFormat="1" ht="15.75" hidden="1" customHeight="1">
      <c r="A78" s="162"/>
      <c r="B78" s="162"/>
      <c r="C78" s="145" t="s">
        <v>959</v>
      </c>
      <c r="D78" s="162"/>
      <c r="E78" s="148" t="e">
        <f t="shared" si="2"/>
        <v>#REF!</v>
      </c>
      <c r="F78" s="154">
        <f>TB!G65</f>
        <v>0</v>
      </c>
      <c r="G78" s="154">
        <f>[2]TB!G65</f>
        <v>0</v>
      </c>
      <c r="H78" s="199" t="e">
        <f>[1]Sheet1!M64</f>
        <v>#REF!</v>
      </c>
      <c r="I78" s="194">
        <f>+G78-[2]BS!$F$11</f>
        <v>-106555897.00999995</v>
      </c>
    </row>
    <row r="79" spans="1:9" s="172" customFormat="1" ht="15.75" hidden="1" customHeight="1">
      <c r="A79" s="162"/>
      <c r="B79" s="162"/>
      <c r="C79" s="145" t="s">
        <v>960</v>
      </c>
      <c r="D79" s="162"/>
      <c r="E79" s="148" t="e">
        <f t="shared" si="2"/>
        <v>#REF!</v>
      </c>
      <c r="F79" s="154">
        <f>TB!G66</f>
        <v>0</v>
      </c>
      <c r="G79" s="154">
        <f>[2]TB!G66</f>
        <v>0</v>
      </c>
      <c r="H79" s="199" t="e">
        <f>[1]Sheet1!M65</f>
        <v>#REF!</v>
      </c>
      <c r="I79" s="194">
        <f>+G79-[2]BS!$F$11</f>
        <v>-106555897.00999995</v>
      </c>
    </row>
    <row r="80" spans="1:9" s="172" customFormat="1" ht="15.75" hidden="1" customHeight="1">
      <c r="A80" s="162"/>
      <c r="B80" s="162"/>
      <c r="C80" s="145" t="s">
        <v>961</v>
      </c>
      <c r="D80" s="162"/>
      <c r="E80" s="148" t="e">
        <f t="shared" si="2"/>
        <v>#REF!</v>
      </c>
      <c r="F80" s="154">
        <f>TB!G67</f>
        <v>0</v>
      </c>
      <c r="G80" s="154">
        <f>[2]TB!G67</f>
        <v>0</v>
      </c>
      <c r="H80" s="199" t="e">
        <f>[1]Sheet1!M66</f>
        <v>#REF!</v>
      </c>
      <c r="I80" s="194">
        <f>+G80-[2]BS!$F$11</f>
        <v>-106555897.00999995</v>
      </c>
    </row>
    <row r="81" spans="1:9" s="172" customFormat="1" ht="15.75" hidden="1" customHeight="1">
      <c r="A81" s="162"/>
      <c r="B81" s="162"/>
      <c r="C81" s="145" t="s">
        <v>962</v>
      </c>
      <c r="D81" s="162"/>
      <c r="E81" s="148" t="e">
        <f t="shared" si="2"/>
        <v>#REF!</v>
      </c>
      <c r="F81" s="154">
        <f>TB!G68</f>
        <v>0</v>
      </c>
      <c r="G81" s="154">
        <f>[2]TB!G68</f>
        <v>0</v>
      </c>
      <c r="H81" s="199" t="e">
        <f>[1]Sheet1!M67</f>
        <v>#REF!</v>
      </c>
      <c r="I81" s="194">
        <f>+G81-[2]BS!$F$11</f>
        <v>-106555897.00999995</v>
      </c>
    </row>
    <row r="82" spans="1:9" s="172" customFormat="1" ht="15.75" hidden="1" customHeight="1">
      <c r="A82" s="162"/>
      <c r="B82" s="162"/>
      <c r="C82" s="145" t="s">
        <v>963</v>
      </c>
      <c r="D82" s="162"/>
      <c r="E82" s="148" t="e">
        <f t="shared" si="2"/>
        <v>#REF!</v>
      </c>
      <c r="F82" s="154">
        <f>TB!G69</f>
        <v>0</v>
      </c>
      <c r="G82" s="154">
        <f>[2]TB!G69</f>
        <v>0</v>
      </c>
      <c r="H82" s="199" t="e">
        <f>[1]Sheet1!M68</f>
        <v>#REF!</v>
      </c>
      <c r="I82" s="194">
        <f>+G82-[2]BS!$F$11</f>
        <v>-106555897.00999995</v>
      </c>
    </row>
    <row r="83" spans="1:9" s="172" customFormat="1" ht="15.75" hidden="1" customHeight="1">
      <c r="A83" s="162"/>
      <c r="B83" s="162"/>
      <c r="C83" s="145" t="s">
        <v>964</v>
      </c>
      <c r="D83" s="162"/>
      <c r="E83" s="148" t="e">
        <f t="shared" si="2"/>
        <v>#REF!</v>
      </c>
      <c r="F83" s="154">
        <f>TB!G70</f>
        <v>0</v>
      </c>
      <c r="G83" s="154">
        <f>[2]TB!G70</f>
        <v>0</v>
      </c>
      <c r="H83" s="199" t="e">
        <f>[1]Sheet1!M69</f>
        <v>#REF!</v>
      </c>
      <c r="I83" s="194">
        <f>+G83-[2]BS!$F$11</f>
        <v>-106555897.00999995</v>
      </c>
    </row>
    <row r="84" spans="1:9" s="194" customFormat="1" ht="15.75" hidden="1" customHeight="1">
      <c r="A84" s="178"/>
      <c r="B84" s="178" t="s">
        <v>485</v>
      </c>
      <c r="C84" s="178"/>
      <c r="D84" s="200"/>
      <c r="E84" s="195" t="e">
        <f>SUM(E85:E86)</f>
        <v>#REF!</v>
      </c>
      <c r="F84" s="196">
        <f>SUM(F85:F86)</f>
        <v>0</v>
      </c>
      <c r="G84" s="196">
        <f>SUM(G85:G86)</f>
        <v>0</v>
      </c>
      <c r="H84" s="198" t="e">
        <f>SUM(H85:H86)</f>
        <v>#REF!</v>
      </c>
      <c r="I84" s="194">
        <f>+G84-[2]BS!$F$11</f>
        <v>-106555897.00999995</v>
      </c>
    </row>
    <row r="85" spans="1:9" s="172" customFormat="1" ht="15.75" hidden="1" customHeight="1">
      <c r="A85" s="162"/>
      <c r="B85" s="162"/>
      <c r="C85" s="162"/>
      <c r="D85" s="145" t="s">
        <v>965</v>
      </c>
      <c r="E85" s="148" t="e">
        <f>SUM(F85:H85)</f>
        <v>#REF!</v>
      </c>
      <c r="F85" s="154">
        <f>TB!G71</f>
        <v>0</v>
      </c>
      <c r="G85" s="154">
        <f>[2]TB!G71</f>
        <v>0</v>
      </c>
      <c r="H85" s="199" t="e">
        <f>[1]Sheet1!M70</f>
        <v>#REF!</v>
      </c>
      <c r="I85" s="194">
        <f>+G85-[2]BS!$F$11</f>
        <v>-106555897.00999995</v>
      </c>
    </row>
    <row r="86" spans="1:9" s="172" customFormat="1" ht="15.75" hidden="1" customHeight="1">
      <c r="A86" s="162"/>
      <c r="B86" s="162"/>
      <c r="C86" s="162"/>
      <c r="D86" s="145" t="s">
        <v>967</v>
      </c>
      <c r="E86" s="148" t="e">
        <f>SUM(F86:H86)</f>
        <v>#REF!</v>
      </c>
      <c r="F86" s="154">
        <f>TB!G72</f>
        <v>0</v>
      </c>
      <c r="G86" s="154">
        <f>[2]TB!G72</f>
        <v>0</v>
      </c>
      <c r="H86" s="199" t="e">
        <f>[1]Sheet1!M71</f>
        <v>#REF!</v>
      </c>
      <c r="I86" s="194">
        <f>+G86-[2]BS!$F$11</f>
        <v>-106555897.00999995</v>
      </c>
    </row>
    <row r="87" spans="1:9" s="194" customFormat="1" ht="15.75" customHeight="1">
      <c r="A87" s="178"/>
      <c r="B87" s="178"/>
      <c r="C87" s="178"/>
      <c r="D87" s="200" t="s">
        <v>486</v>
      </c>
      <c r="E87" s="204" t="e">
        <f>+E84+E76+E51+E29+E13</f>
        <v>#REF!</v>
      </c>
      <c r="F87" s="205">
        <f>+F84+F76+F51+F29+F13</f>
        <v>16559911.140000001</v>
      </c>
      <c r="G87" s="205">
        <f>+G84+G76+G51+G29+G13</f>
        <v>142001964.23999992</v>
      </c>
      <c r="H87" s="206" t="e">
        <f>+H84+H76+H51+H29+H13</f>
        <v>#REF!</v>
      </c>
      <c r="I87" s="194">
        <f>+G87-[2]BS!$F$85</f>
        <v>0</v>
      </c>
    </row>
    <row r="88" spans="1:9" s="194" customFormat="1" ht="15.75" hidden="1" customHeight="1">
      <c r="A88" s="178" t="s">
        <v>487</v>
      </c>
      <c r="B88" s="178"/>
      <c r="C88" s="178"/>
      <c r="D88" s="200"/>
      <c r="E88" s="195"/>
      <c r="F88" s="196"/>
      <c r="G88" s="196"/>
      <c r="H88" s="198"/>
      <c r="I88" s="194">
        <f>+G88-[2]BS!$F$11</f>
        <v>-106555897.00999995</v>
      </c>
    </row>
    <row r="89" spans="1:9" s="194" customFormat="1" ht="15.75" hidden="1" customHeight="1">
      <c r="A89" s="178"/>
      <c r="B89" s="178" t="s">
        <v>488</v>
      </c>
      <c r="C89" s="200"/>
      <c r="D89" s="178"/>
      <c r="E89" s="195" t="e">
        <f>SUM(E90:E93)</f>
        <v>#REF!</v>
      </c>
      <c r="F89" s="196">
        <f>SUM(F90:F93)</f>
        <v>0</v>
      </c>
      <c r="G89" s="196">
        <f>SUM(G90:G93)</f>
        <v>0</v>
      </c>
      <c r="H89" s="198" t="e">
        <f>SUM(H90:H93)</f>
        <v>#REF!</v>
      </c>
      <c r="I89" s="194">
        <f>+G89-[2]BS!$F$11</f>
        <v>-106555897.00999995</v>
      </c>
    </row>
    <row r="90" spans="1:9" s="172" customFormat="1" ht="15.75" hidden="1" customHeight="1">
      <c r="A90" s="162"/>
      <c r="B90" s="162"/>
      <c r="C90" s="145" t="s">
        <v>969</v>
      </c>
      <c r="D90" s="162"/>
      <c r="E90" s="148" t="e">
        <f>SUM(F90:H90)</f>
        <v>#REF!</v>
      </c>
      <c r="F90" s="154">
        <f>TB!G73</f>
        <v>0</v>
      </c>
      <c r="G90" s="154">
        <f>[2]TB!G73</f>
        <v>0</v>
      </c>
      <c r="H90" s="199" t="e">
        <f>[1]Sheet1!M72</f>
        <v>#REF!</v>
      </c>
      <c r="I90" s="194">
        <f>+G90-[2]BS!$F$11</f>
        <v>-106555897.00999995</v>
      </c>
    </row>
    <row r="91" spans="1:9" s="172" customFormat="1" ht="15.75" hidden="1" customHeight="1">
      <c r="A91" s="162"/>
      <c r="B91" s="162"/>
      <c r="C91" s="145" t="s">
        <v>971</v>
      </c>
      <c r="D91" s="162"/>
      <c r="E91" s="148" t="e">
        <f>SUM(F91:H91)</f>
        <v>#REF!</v>
      </c>
      <c r="F91" s="154">
        <f>TB!G74</f>
        <v>0</v>
      </c>
      <c r="G91" s="154">
        <f>[2]TB!G74</f>
        <v>0</v>
      </c>
      <c r="H91" s="199" t="e">
        <f>[1]Sheet1!M73</f>
        <v>#REF!</v>
      </c>
      <c r="I91" s="194">
        <f>+G91-[2]BS!$F$11</f>
        <v>-106555897.00999995</v>
      </c>
    </row>
    <row r="92" spans="1:9" s="172" customFormat="1" ht="15.75" hidden="1" customHeight="1">
      <c r="A92" s="162"/>
      <c r="B92" s="162"/>
      <c r="C92" s="145" t="s">
        <v>973</v>
      </c>
      <c r="D92" s="162"/>
      <c r="E92" s="148" t="e">
        <f>SUM(F92:H92)</f>
        <v>#REF!</v>
      </c>
      <c r="F92" s="154">
        <f>TB!G75</f>
        <v>0</v>
      </c>
      <c r="G92" s="154">
        <f>[2]TB!G75</f>
        <v>0</v>
      </c>
      <c r="H92" s="199" t="e">
        <f>[1]Sheet1!M74</f>
        <v>#REF!</v>
      </c>
      <c r="I92" s="194">
        <f>+G92-[2]BS!$F$11</f>
        <v>-106555897.00999995</v>
      </c>
    </row>
    <row r="93" spans="1:9" s="172" customFormat="1" ht="15.75" hidden="1" customHeight="1">
      <c r="A93" s="162"/>
      <c r="B93" s="162"/>
      <c r="C93" s="145" t="s">
        <v>975</v>
      </c>
      <c r="D93" s="162"/>
      <c r="E93" s="148" t="e">
        <f>SUM(F93:H93)</f>
        <v>#REF!</v>
      </c>
      <c r="F93" s="154">
        <f>TB!G76</f>
        <v>0</v>
      </c>
      <c r="G93" s="154">
        <f>[2]TB!G76</f>
        <v>0</v>
      </c>
      <c r="H93" s="199" t="e">
        <f>[1]Sheet1!M75</f>
        <v>#REF!</v>
      </c>
      <c r="I93" s="194">
        <f>+G93-[2]BS!$F$11</f>
        <v>-106555897.00999995</v>
      </c>
    </row>
    <row r="94" spans="1:9" s="194" customFormat="1" ht="15.75" hidden="1" customHeight="1">
      <c r="A94" s="178"/>
      <c r="B94" s="178" t="s">
        <v>489</v>
      </c>
      <c r="C94" s="200"/>
      <c r="D94" s="178"/>
      <c r="E94" s="195" t="e">
        <f>+E95</f>
        <v>#REF!</v>
      </c>
      <c r="F94" s="196">
        <f>+F95</f>
        <v>0</v>
      </c>
      <c r="G94" s="196">
        <f>+G95</f>
        <v>0</v>
      </c>
      <c r="H94" s="198" t="e">
        <f>+H95</f>
        <v>#REF!</v>
      </c>
      <c r="I94" s="194">
        <f>+G94-[2]BS!$F$11</f>
        <v>-106555897.00999995</v>
      </c>
    </row>
    <row r="95" spans="1:9" s="172" customFormat="1" ht="15.75" hidden="1" customHeight="1">
      <c r="A95" s="162"/>
      <c r="B95" s="162"/>
      <c r="C95" s="145" t="s">
        <v>977</v>
      </c>
      <c r="D95" s="162"/>
      <c r="E95" s="148" t="e">
        <f>SUM(F95:H95)</f>
        <v>#REF!</v>
      </c>
      <c r="F95" s="154">
        <f>TB!G77</f>
        <v>0</v>
      </c>
      <c r="G95" s="154">
        <f>[2]TB!G77</f>
        <v>0</v>
      </c>
      <c r="H95" s="199" t="e">
        <f>[1]Sheet1!M76</f>
        <v>#REF!</v>
      </c>
      <c r="I95" s="194">
        <f>+G95-[2]BS!$F$11</f>
        <v>-106555897.00999995</v>
      </c>
    </row>
    <row r="96" spans="1:9" s="194" customFormat="1" ht="15.75" hidden="1" customHeight="1">
      <c r="A96" s="178"/>
      <c r="B96" s="178"/>
      <c r="C96" s="200"/>
      <c r="D96" s="178" t="s">
        <v>490</v>
      </c>
      <c r="E96" s="195" t="e">
        <f>+E94+E89</f>
        <v>#REF!</v>
      </c>
      <c r="F96" s="196">
        <f>+F94+F89</f>
        <v>0</v>
      </c>
      <c r="G96" s="196">
        <f>+G94+G89</f>
        <v>0</v>
      </c>
      <c r="H96" s="198" t="e">
        <f>+H94+H89</f>
        <v>#REF!</v>
      </c>
      <c r="I96" s="194">
        <f>+G96-[2]BS!$F$11</f>
        <v>-106555897.00999995</v>
      </c>
    </row>
    <row r="97" spans="1:9" s="194" customFormat="1" ht="15.75" hidden="1" customHeight="1">
      <c r="A97" s="178" t="s">
        <v>491</v>
      </c>
      <c r="B97" s="178"/>
      <c r="C97" s="178"/>
      <c r="D97" s="200"/>
      <c r="E97" s="195"/>
      <c r="F97" s="196"/>
      <c r="G97" s="196"/>
      <c r="H97" s="198"/>
      <c r="I97" s="194">
        <f>+G97-[2]BS!$F$11</f>
        <v>-106555897.00999995</v>
      </c>
    </row>
    <row r="98" spans="1:9" s="194" customFormat="1" ht="15.75" hidden="1" customHeight="1">
      <c r="A98" s="178"/>
      <c r="B98" s="178" t="s">
        <v>492</v>
      </c>
      <c r="C98" s="178"/>
      <c r="D98" s="200"/>
      <c r="E98" s="195" t="e">
        <f>+E99+E100+E103+E106+E109</f>
        <v>#REF!</v>
      </c>
      <c r="F98" s="196">
        <f>+F99+F100+F103+F106+F109</f>
        <v>0</v>
      </c>
      <c r="G98" s="196">
        <f>+G99+G100+G103+G106+G109</f>
        <v>0</v>
      </c>
      <c r="H98" s="198" t="e">
        <f>+H99+H100+H103+H106+H109</f>
        <v>#REF!</v>
      </c>
      <c r="I98" s="194">
        <f>+G98-[2]BS!$F$11</f>
        <v>-106555897.00999995</v>
      </c>
    </row>
    <row r="99" spans="1:9" s="172" customFormat="1" ht="15.75" hidden="1" customHeight="1">
      <c r="A99" s="162"/>
      <c r="B99" s="162"/>
      <c r="C99" s="145" t="s">
        <v>979</v>
      </c>
      <c r="D99" s="162"/>
      <c r="E99" s="148" t="e">
        <f t="shared" ref="E99:E111" si="3">SUM(F99:H99)</f>
        <v>#REF!</v>
      </c>
      <c r="F99" s="154">
        <f>TB!G78</f>
        <v>0</v>
      </c>
      <c r="G99" s="154">
        <f>[2]TB!G78</f>
        <v>0</v>
      </c>
      <c r="H99" s="199" t="e">
        <f>[1]Sheet1!M77</f>
        <v>#REF!</v>
      </c>
      <c r="I99" s="194">
        <f>+G99-[2]BS!$F$11</f>
        <v>-106555897.00999995</v>
      </c>
    </row>
    <row r="100" spans="1:9" s="172" customFormat="1" ht="15.75" hidden="1" customHeight="1">
      <c r="A100" s="162"/>
      <c r="B100" s="162"/>
      <c r="C100" s="145" t="s">
        <v>493</v>
      </c>
      <c r="D100" s="162"/>
      <c r="E100" s="148" t="e">
        <f t="shared" si="3"/>
        <v>#REF!</v>
      </c>
      <c r="F100" s="154">
        <f>+F101-F102</f>
        <v>0</v>
      </c>
      <c r="G100" s="154">
        <f>+G101-G102</f>
        <v>0</v>
      </c>
      <c r="H100" s="199" t="e">
        <f>+H101-H102</f>
        <v>#REF!</v>
      </c>
      <c r="I100" s="194">
        <f>+G100-[2]BS!$F$11</f>
        <v>-106555897.00999995</v>
      </c>
    </row>
    <row r="101" spans="1:9" s="172" customFormat="1" ht="15.75" hidden="1" customHeight="1">
      <c r="A101" s="162"/>
      <c r="B101" s="162"/>
      <c r="C101" s="162"/>
      <c r="D101" s="145" t="s">
        <v>980</v>
      </c>
      <c r="E101" s="148" t="e">
        <f t="shared" si="3"/>
        <v>#REF!</v>
      </c>
      <c r="F101" s="154">
        <f>TB!G79</f>
        <v>0</v>
      </c>
      <c r="G101" s="154">
        <f>[2]TB!G79</f>
        <v>0</v>
      </c>
      <c r="H101" s="199" t="e">
        <f>[1]Sheet1!M78</f>
        <v>#REF!</v>
      </c>
      <c r="I101" s="194">
        <f>+G101-[2]BS!$F$11</f>
        <v>-106555897.00999995</v>
      </c>
    </row>
    <row r="102" spans="1:9" s="172" customFormat="1" ht="15.75" hidden="1" customHeight="1">
      <c r="A102" s="162"/>
      <c r="B102" s="162"/>
      <c r="C102" s="162"/>
      <c r="D102" s="145" t="s">
        <v>981</v>
      </c>
      <c r="E102" s="148" t="e">
        <f t="shared" si="3"/>
        <v>#REF!</v>
      </c>
      <c r="F102" s="154">
        <f>TB!J80</f>
        <v>0</v>
      </c>
      <c r="G102" s="154">
        <f>[2]TB!J80</f>
        <v>0</v>
      </c>
      <c r="H102" s="202" t="e">
        <f>[1]Sheet1!N79</f>
        <v>#REF!</v>
      </c>
      <c r="I102" s="194">
        <f>+G102-[2]BS!$F$11</f>
        <v>-106555897.00999995</v>
      </c>
    </row>
    <row r="103" spans="1:9" s="172" customFormat="1" ht="15.75" hidden="1" customHeight="1">
      <c r="A103" s="162"/>
      <c r="B103" s="162"/>
      <c r="C103" s="145" t="s">
        <v>494</v>
      </c>
      <c r="D103" s="162"/>
      <c r="E103" s="148" t="e">
        <f t="shared" si="3"/>
        <v>#REF!</v>
      </c>
      <c r="F103" s="154">
        <f>+F104-F105</f>
        <v>0</v>
      </c>
      <c r="G103" s="154">
        <f>+G104-G105</f>
        <v>0</v>
      </c>
      <c r="H103" s="199" t="e">
        <f>+H104-H105</f>
        <v>#REF!</v>
      </c>
      <c r="I103" s="194">
        <f>+G103-[2]BS!$F$11</f>
        <v>-106555897.00999995</v>
      </c>
    </row>
    <row r="104" spans="1:9" s="172" customFormat="1" ht="15.75" hidden="1" customHeight="1">
      <c r="A104" s="162"/>
      <c r="B104" s="162"/>
      <c r="C104" s="162"/>
      <c r="D104" s="145" t="s">
        <v>982</v>
      </c>
      <c r="E104" s="148" t="e">
        <f t="shared" si="3"/>
        <v>#REF!</v>
      </c>
      <c r="F104" s="154">
        <f>TB!G81</f>
        <v>0</v>
      </c>
      <c r="G104" s="154">
        <f>[2]TB!G81</f>
        <v>0</v>
      </c>
      <c r="H104" s="199" t="e">
        <f>[1]Sheet1!M80</f>
        <v>#REF!</v>
      </c>
      <c r="I104" s="194">
        <f>+G104-[2]BS!$F$11</f>
        <v>-106555897.00999995</v>
      </c>
    </row>
    <row r="105" spans="1:9" s="172" customFormat="1" ht="15.75" hidden="1" customHeight="1">
      <c r="A105" s="162"/>
      <c r="B105" s="162"/>
      <c r="C105" s="162"/>
      <c r="D105" s="145" t="s">
        <v>734</v>
      </c>
      <c r="E105" s="148" t="e">
        <f t="shared" si="3"/>
        <v>#REF!</v>
      </c>
      <c r="F105" s="154">
        <f>TB!J82</f>
        <v>0</v>
      </c>
      <c r="G105" s="154">
        <f>[2]TB!J82</f>
        <v>0</v>
      </c>
      <c r="H105" s="202" t="e">
        <f>[1]Sheet1!N81</f>
        <v>#REF!</v>
      </c>
      <c r="I105" s="194">
        <f>+G105-[2]BS!$F$11</f>
        <v>-106555897.00999995</v>
      </c>
    </row>
    <row r="106" spans="1:9" s="172" customFormat="1" ht="15.75" hidden="1" customHeight="1">
      <c r="A106" s="162"/>
      <c r="B106" s="162"/>
      <c r="C106" s="145" t="s">
        <v>495</v>
      </c>
      <c r="D106" s="162"/>
      <c r="E106" s="148" t="e">
        <f t="shared" si="3"/>
        <v>#REF!</v>
      </c>
      <c r="F106" s="154">
        <f>+F107-F108</f>
        <v>0</v>
      </c>
      <c r="G106" s="154">
        <f>+G107-G108</f>
        <v>0</v>
      </c>
      <c r="H106" s="199" t="e">
        <f>+H107-H108</f>
        <v>#REF!</v>
      </c>
      <c r="I106" s="194">
        <f>+G106-[2]BS!$F$11</f>
        <v>-106555897.00999995</v>
      </c>
    </row>
    <row r="107" spans="1:9" s="172" customFormat="1" ht="15.75" hidden="1" customHeight="1">
      <c r="A107" s="162"/>
      <c r="B107" s="162"/>
      <c r="C107" s="162"/>
      <c r="D107" s="145" t="s">
        <v>735</v>
      </c>
      <c r="E107" s="148" t="e">
        <f t="shared" si="3"/>
        <v>#REF!</v>
      </c>
      <c r="F107" s="154">
        <f>TB!G83</f>
        <v>0</v>
      </c>
      <c r="G107" s="154">
        <f>[2]TB!G83</f>
        <v>0</v>
      </c>
      <c r="H107" s="199" t="e">
        <f>[1]Sheet1!M82</f>
        <v>#REF!</v>
      </c>
      <c r="I107" s="194">
        <f>+G107-[2]BS!$F$11</f>
        <v>-106555897.00999995</v>
      </c>
    </row>
    <row r="108" spans="1:9" s="172" customFormat="1" ht="15.75" hidden="1" customHeight="1">
      <c r="A108" s="162"/>
      <c r="B108" s="162"/>
      <c r="C108" s="162"/>
      <c r="D108" s="145" t="s">
        <v>736</v>
      </c>
      <c r="E108" s="148" t="e">
        <f t="shared" si="3"/>
        <v>#REF!</v>
      </c>
      <c r="F108" s="154">
        <f>TB!J84</f>
        <v>0</v>
      </c>
      <c r="G108" s="154">
        <f>[2]TB!J84</f>
        <v>0</v>
      </c>
      <c r="H108" s="202" t="e">
        <f>[1]Sheet1!N83</f>
        <v>#REF!</v>
      </c>
      <c r="I108" s="194">
        <f>+G108-[2]BS!$F$11</f>
        <v>-106555897.00999995</v>
      </c>
    </row>
    <row r="109" spans="1:9" s="172" customFormat="1" ht="15.75" hidden="1" customHeight="1">
      <c r="A109" s="162"/>
      <c r="B109" s="162"/>
      <c r="C109" s="145" t="s">
        <v>496</v>
      </c>
      <c r="D109" s="162"/>
      <c r="E109" s="148" t="e">
        <f t="shared" si="3"/>
        <v>#REF!</v>
      </c>
      <c r="F109" s="154">
        <f>+F110-F111</f>
        <v>0</v>
      </c>
      <c r="G109" s="154">
        <f>+G110-G111</f>
        <v>0</v>
      </c>
      <c r="H109" s="199" t="e">
        <f>+H110-H111</f>
        <v>#REF!</v>
      </c>
      <c r="I109" s="194">
        <f>+G109-[2]BS!$F$11</f>
        <v>-106555897.00999995</v>
      </c>
    </row>
    <row r="110" spans="1:9" s="172" customFormat="1" ht="15.75" hidden="1" customHeight="1">
      <c r="A110" s="162"/>
      <c r="B110" s="162"/>
      <c r="C110" s="162"/>
      <c r="D110" s="145" t="s">
        <v>737</v>
      </c>
      <c r="E110" s="148" t="e">
        <f t="shared" si="3"/>
        <v>#REF!</v>
      </c>
      <c r="F110" s="154">
        <f>TB!G85</f>
        <v>0</v>
      </c>
      <c r="G110" s="154">
        <f>[2]TB!G85</f>
        <v>0</v>
      </c>
      <c r="H110" s="199" t="e">
        <f>[1]Sheet1!M84</f>
        <v>#REF!</v>
      </c>
      <c r="I110" s="194">
        <f>+G110-[2]BS!$F$11</f>
        <v>-106555897.00999995</v>
      </c>
    </row>
    <row r="111" spans="1:9" s="172" customFormat="1" ht="15.75" hidden="1" customHeight="1">
      <c r="A111" s="162"/>
      <c r="B111" s="162"/>
      <c r="C111" s="162"/>
      <c r="D111" s="145" t="s">
        <v>2273</v>
      </c>
      <c r="E111" s="148" t="e">
        <f t="shared" si="3"/>
        <v>#REF!</v>
      </c>
      <c r="F111" s="154">
        <f>TB!J86</f>
        <v>0</v>
      </c>
      <c r="G111" s="154">
        <f>[2]TB!J86</f>
        <v>0</v>
      </c>
      <c r="H111" s="202" t="e">
        <f>[1]Sheet1!N85</f>
        <v>#REF!</v>
      </c>
      <c r="I111" s="194">
        <f>+G111-[2]BS!$F$11</f>
        <v>-106555897.00999995</v>
      </c>
    </row>
    <row r="112" spans="1:9" s="194" customFormat="1" ht="15.75" hidden="1" customHeight="1">
      <c r="A112" s="178"/>
      <c r="B112" s="178" t="s">
        <v>497</v>
      </c>
      <c r="C112" s="178"/>
      <c r="D112" s="200"/>
      <c r="E112" s="195" t="e">
        <f>+E113+E116+E119+E122+E125</f>
        <v>#REF!</v>
      </c>
      <c r="F112" s="196">
        <f>+F113+F116+F119+F122+F125</f>
        <v>0</v>
      </c>
      <c r="G112" s="196">
        <f>+G113+G116+G119+G122+G125</f>
        <v>0</v>
      </c>
      <c r="H112" s="198" t="e">
        <f>+H113+H116+H119+H122+H125</f>
        <v>#REF!</v>
      </c>
      <c r="I112" s="194">
        <f>+G112-[2]BS!$F$11</f>
        <v>-106555897.00999995</v>
      </c>
    </row>
    <row r="113" spans="1:9" s="172" customFormat="1" ht="15.75" hidden="1" customHeight="1">
      <c r="A113" s="162"/>
      <c r="B113" s="162"/>
      <c r="C113" s="145" t="s">
        <v>498</v>
      </c>
      <c r="D113" s="162"/>
      <c r="E113" s="148" t="e">
        <f t="shared" ref="E113:E127" si="4">SUM(F113:H113)</f>
        <v>#REF!</v>
      </c>
      <c r="F113" s="154">
        <f>+F114-F115</f>
        <v>0</v>
      </c>
      <c r="G113" s="154">
        <f>+G114-G115</f>
        <v>0</v>
      </c>
      <c r="H113" s="199" t="e">
        <f>+H114-H115</f>
        <v>#REF!</v>
      </c>
      <c r="I113" s="194">
        <f>+G113-[2]BS!$F$11</f>
        <v>-106555897.00999995</v>
      </c>
    </row>
    <row r="114" spans="1:9" s="172" customFormat="1" ht="15.75" hidden="1" customHeight="1">
      <c r="A114" s="162"/>
      <c r="B114" s="162"/>
      <c r="C114" s="162"/>
      <c r="D114" s="145" t="s">
        <v>2274</v>
      </c>
      <c r="E114" s="148" t="e">
        <f t="shared" si="4"/>
        <v>#REF!</v>
      </c>
      <c r="F114" s="154">
        <f>TB!G87</f>
        <v>0</v>
      </c>
      <c r="G114" s="154">
        <f>[2]TB!G87</f>
        <v>0</v>
      </c>
      <c r="H114" s="199" t="e">
        <f>[1]Sheet1!M86</f>
        <v>#REF!</v>
      </c>
      <c r="I114" s="194">
        <f>+G114-[2]BS!$F$11</f>
        <v>-106555897.00999995</v>
      </c>
    </row>
    <row r="115" spans="1:9" s="172" customFormat="1" ht="15.75" hidden="1" customHeight="1">
      <c r="A115" s="162"/>
      <c r="B115" s="162"/>
      <c r="C115" s="162"/>
      <c r="D115" s="145" t="s">
        <v>39</v>
      </c>
      <c r="E115" s="148" t="e">
        <f t="shared" si="4"/>
        <v>#REF!</v>
      </c>
      <c r="F115" s="154">
        <f>TB!J88</f>
        <v>0</v>
      </c>
      <c r="G115" s="154">
        <f>[2]TB!J88</f>
        <v>0</v>
      </c>
      <c r="H115" s="202" t="e">
        <f>[1]Sheet1!N87</f>
        <v>#REF!</v>
      </c>
      <c r="I115" s="194">
        <f>+G115-[2]BS!$F$11</f>
        <v>-106555897.00999995</v>
      </c>
    </row>
    <row r="116" spans="1:9" s="172" customFormat="1" ht="16.5" hidden="1" customHeight="1">
      <c r="A116" s="162"/>
      <c r="B116" s="162"/>
      <c r="C116" s="145" t="s">
        <v>499</v>
      </c>
      <c r="D116" s="162"/>
      <c r="E116" s="148" t="e">
        <f t="shared" si="4"/>
        <v>#REF!</v>
      </c>
      <c r="F116" s="154">
        <f>+F117-F118</f>
        <v>0</v>
      </c>
      <c r="G116" s="154">
        <f>+G117-G118</f>
        <v>0</v>
      </c>
      <c r="H116" s="199" t="e">
        <f>+H117-H118</f>
        <v>#REF!</v>
      </c>
      <c r="I116" s="194">
        <f>+G116-[2]BS!$F$11</f>
        <v>-106555897.00999995</v>
      </c>
    </row>
    <row r="117" spans="1:9" s="172" customFormat="1" ht="15.75" hidden="1" customHeight="1">
      <c r="A117" s="162"/>
      <c r="B117" s="162"/>
      <c r="C117" s="162"/>
      <c r="D117" s="145" t="s">
        <v>41</v>
      </c>
      <c r="E117" s="148" t="e">
        <f t="shared" si="4"/>
        <v>#REF!</v>
      </c>
      <c r="F117" s="154">
        <f>TB!G89</f>
        <v>0</v>
      </c>
      <c r="G117" s="154">
        <f>[2]TB!G89</f>
        <v>0</v>
      </c>
      <c r="H117" s="199" t="e">
        <f>[1]Sheet1!M88</f>
        <v>#REF!</v>
      </c>
      <c r="I117" s="194">
        <f>+G117-[2]BS!$F$11</f>
        <v>-106555897.00999995</v>
      </c>
    </row>
    <row r="118" spans="1:9" s="172" customFormat="1" ht="15.75" hidden="1" customHeight="1">
      <c r="A118" s="162"/>
      <c r="B118" s="162"/>
      <c r="C118" s="162"/>
      <c r="D118" s="145" t="s">
        <v>43</v>
      </c>
      <c r="E118" s="148" t="e">
        <f t="shared" si="4"/>
        <v>#REF!</v>
      </c>
      <c r="F118" s="154">
        <f>TB!J90</f>
        <v>0</v>
      </c>
      <c r="G118" s="154">
        <f>[2]TB!J90</f>
        <v>0</v>
      </c>
      <c r="H118" s="202" t="e">
        <f>[1]Sheet1!N89</f>
        <v>#REF!</v>
      </c>
      <c r="I118" s="194">
        <f>+G118-[2]BS!$F$11</f>
        <v>-106555897.00999995</v>
      </c>
    </row>
    <row r="119" spans="1:9" s="172" customFormat="1" ht="15.75" hidden="1" customHeight="1">
      <c r="A119" s="162"/>
      <c r="B119" s="162"/>
      <c r="C119" s="145" t="s">
        <v>500</v>
      </c>
      <c r="D119" s="162"/>
      <c r="E119" s="148" t="e">
        <f t="shared" si="4"/>
        <v>#REF!</v>
      </c>
      <c r="F119" s="154">
        <f>+F120-F121</f>
        <v>0</v>
      </c>
      <c r="G119" s="154">
        <f>+G120-G121</f>
        <v>0</v>
      </c>
      <c r="H119" s="199" t="e">
        <f>+H120-H121</f>
        <v>#REF!</v>
      </c>
      <c r="I119" s="194">
        <f>+G119-[2]BS!$F$11</f>
        <v>-106555897.00999995</v>
      </c>
    </row>
    <row r="120" spans="1:9" s="172" customFormat="1" ht="15.75" hidden="1" customHeight="1">
      <c r="A120" s="162"/>
      <c r="B120" s="162"/>
      <c r="C120" s="162"/>
      <c r="D120" s="145" t="s">
        <v>45</v>
      </c>
      <c r="E120" s="148" t="e">
        <f t="shared" si="4"/>
        <v>#REF!</v>
      </c>
      <c r="F120" s="154">
        <f>TB!G91</f>
        <v>0</v>
      </c>
      <c r="G120" s="154">
        <f>[2]TB!G91</f>
        <v>0</v>
      </c>
      <c r="H120" s="199" t="e">
        <f>[1]Sheet1!M90</f>
        <v>#REF!</v>
      </c>
      <c r="I120" s="194">
        <f>+G120-[2]BS!$F$11</f>
        <v>-106555897.00999995</v>
      </c>
    </row>
    <row r="121" spans="1:9" s="172" customFormat="1" ht="15.75" hidden="1" customHeight="1">
      <c r="A121" s="162"/>
      <c r="B121" s="162"/>
      <c r="C121" s="162"/>
      <c r="D121" s="145" t="s">
        <v>2324</v>
      </c>
      <c r="E121" s="148" t="e">
        <f t="shared" si="4"/>
        <v>#REF!</v>
      </c>
      <c r="F121" s="154">
        <f>TB!J92</f>
        <v>0</v>
      </c>
      <c r="G121" s="154">
        <f>[2]TB!J92</f>
        <v>0</v>
      </c>
      <c r="H121" s="202" t="e">
        <f>[1]Sheet1!N91</f>
        <v>#REF!</v>
      </c>
      <c r="I121" s="194">
        <f>+G121-[2]BS!$F$11</f>
        <v>-106555897.00999995</v>
      </c>
    </row>
    <row r="122" spans="1:9" s="172" customFormat="1" ht="15.75" hidden="1" customHeight="1">
      <c r="A122" s="162"/>
      <c r="B122" s="162"/>
      <c r="C122" s="145" t="s">
        <v>501</v>
      </c>
      <c r="D122" s="162"/>
      <c r="E122" s="148" t="e">
        <f t="shared" si="4"/>
        <v>#REF!</v>
      </c>
      <c r="F122" s="154">
        <f>+F123-F124</f>
        <v>0</v>
      </c>
      <c r="G122" s="154">
        <f>+G123-G124</f>
        <v>0</v>
      </c>
      <c r="H122" s="199" t="e">
        <f>+H123-H124</f>
        <v>#REF!</v>
      </c>
      <c r="I122" s="194">
        <f>+G122-[2]BS!$F$11</f>
        <v>-106555897.00999995</v>
      </c>
    </row>
    <row r="123" spans="1:9" s="172" customFormat="1" ht="15.75" hidden="1" customHeight="1">
      <c r="A123" s="162"/>
      <c r="B123" s="162"/>
      <c r="C123" s="162"/>
      <c r="D123" s="145" t="s">
        <v>2326</v>
      </c>
      <c r="E123" s="148" t="e">
        <f t="shared" si="4"/>
        <v>#REF!</v>
      </c>
      <c r="F123" s="154">
        <f>TB!G93</f>
        <v>0</v>
      </c>
      <c r="G123" s="154">
        <f>[2]TB!G93</f>
        <v>0</v>
      </c>
      <c r="H123" s="199" t="e">
        <f>[1]Sheet1!M92</f>
        <v>#REF!</v>
      </c>
      <c r="I123" s="194">
        <f>+G123-[2]BS!$F$11</f>
        <v>-106555897.00999995</v>
      </c>
    </row>
    <row r="124" spans="1:9" s="172" customFormat="1" ht="15.75" hidden="1" customHeight="1">
      <c r="A124" s="162"/>
      <c r="B124" s="162"/>
      <c r="C124" s="162"/>
      <c r="D124" s="145" t="s">
        <v>2334</v>
      </c>
      <c r="E124" s="148" t="e">
        <f t="shared" si="4"/>
        <v>#REF!</v>
      </c>
      <c r="F124" s="154">
        <f>TB!J94</f>
        <v>0</v>
      </c>
      <c r="G124" s="154">
        <f>[2]TB!J94</f>
        <v>0</v>
      </c>
      <c r="H124" s="202" t="e">
        <f>[1]Sheet1!N93</f>
        <v>#REF!</v>
      </c>
      <c r="I124" s="194">
        <f>+G124-[2]BS!$F$11</f>
        <v>-106555897.00999995</v>
      </c>
    </row>
    <row r="125" spans="1:9" s="172" customFormat="1" ht="15.75" hidden="1" customHeight="1">
      <c r="A125" s="162"/>
      <c r="B125" s="162"/>
      <c r="C125" s="145" t="s">
        <v>502</v>
      </c>
      <c r="D125" s="162"/>
      <c r="E125" s="148" t="e">
        <f t="shared" si="4"/>
        <v>#REF!</v>
      </c>
      <c r="F125" s="154">
        <f>+F126-F127</f>
        <v>0</v>
      </c>
      <c r="G125" s="154">
        <f>+G126-G127</f>
        <v>0</v>
      </c>
      <c r="H125" s="199" t="e">
        <f>+H126-H127</f>
        <v>#REF!</v>
      </c>
      <c r="I125" s="194">
        <f>+G125-[2]BS!$F$11</f>
        <v>-106555897.00999995</v>
      </c>
    </row>
    <row r="126" spans="1:9" s="172" customFormat="1" ht="15.75" hidden="1" customHeight="1">
      <c r="A126" s="162"/>
      <c r="B126" s="162"/>
      <c r="C126" s="162"/>
      <c r="D126" s="145" t="s">
        <v>2336</v>
      </c>
      <c r="E126" s="148" t="e">
        <f t="shared" si="4"/>
        <v>#REF!</v>
      </c>
      <c r="F126" s="154">
        <f>TB!G95</f>
        <v>0</v>
      </c>
      <c r="G126" s="154">
        <f>[2]TB!G95</f>
        <v>0</v>
      </c>
      <c r="H126" s="199" t="e">
        <f>[1]Sheet1!M94</f>
        <v>#REF!</v>
      </c>
      <c r="I126" s="194">
        <f>+G126-[2]BS!$F$11</f>
        <v>-106555897.00999995</v>
      </c>
    </row>
    <row r="127" spans="1:9" s="172" customFormat="1" ht="15.75" hidden="1" customHeight="1">
      <c r="A127" s="162"/>
      <c r="B127" s="162"/>
      <c r="C127" s="162"/>
      <c r="D127" s="145" t="s">
        <v>2338</v>
      </c>
      <c r="E127" s="148" t="e">
        <f t="shared" si="4"/>
        <v>#REF!</v>
      </c>
      <c r="F127" s="154">
        <f>TB!J96</f>
        <v>0</v>
      </c>
      <c r="G127" s="154">
        <f>[2]TB!J96</f>
        <v>0</v>
      </c>
      <c r="H127" s="202" t="e">
        <f>[1]Sheet1!N95</f>
        <v>#REF!</v>
      </c>
      <c r="I127" s="194">
        <f>+G127-[2]BS!$F$11</f>
        <v>-106555897.00999995</v>
      </c>
    </row>
    <row r="128" spans="1:9" s="194" customFormat="1" ht="15.75" hidden="1" customHeight="1">
      <c r="A128" s="178"/>
      <c r="B128" s="178" t="s">
        <v>503</v>
      </c>
      <c r="C128" s="178"/>
      <c r="D128" s="200"/>
      <c r="E128" s="191" t="e">
        <f>+E129+E132+E135</f>
        <v>#REF!</v>
      </c>
      <c r="F128" s="161">
        <f>+F129+F132+F135</f>
        <v>0</v>
      </c>
      <c r="G128" s="161">
        <f>+G129+G132+G135</f>
        <v>0</v>
      </c>
      <c r="H128" s="207" t="e">
        <f>+H129+H132+H135</f>
        <v>#REF!</v>
      </c>
      <c r="I128" s="194">
        <f>+G128-[2]BS!$F$11</f>
        <v>-106555897.00999995</v>
      </c>
    </row>
    <row r="129" spans="1:9" s="172" customFormat="1" ht="15.75" hidden="1" customHeight="1">
      <c r="A129" s="162"/>
      <c r="B129" s="162"/>
      <c r="C129" s="145" t="s">
        <v>504</v>
      </c>
      <c r="D129" s="162"/>
      <c r="E129" s="148" t="e">
        <f t="shared" ref="E129:E137" si="5">SUM(F129:H129)</f>
        <v>#REF!</v>
      </c>
      <c r="F129" s="154">
        <f>+F130-F131</f>
        <v>0</v>
      </c>
      <c r="G129" s="154">
        <f>+G130-G131</f>
        <v>0</v>
      </c>
      <c r="H129" s="199" t="e">
        <f>+H130-H131</f>
        <v>#REF!</v>
      </c>
      <c r="I129" s="194">
        <f>+G129-[2]BS!$F$11</f>
        <v>-106555897.00999995</v>
      </c>
    </row>
    <row r="130" spans="1:9" s="172" customFormat="1" ht="15.75" hidden="1" customHeight="1">
      <c r="A130" s="162"/>
      <c r="B130" s="162"/>
      <c r="C130" s="162"/>
      <c r="D130" s="145" t="s">
        <v>2340</v>
      </c>
      <c r="E130" s="148" t="e">
        <f t="shared" si="5"/>
        <v>#REF!</v>
      </c>
      <c r="F130" s="154">
        <f>TB!G97</f>
        <v>0</v>
      </c>
      <c r="G130" s="154">
        <f>[2]TB!G97</f>
        <v>0</v>
      </c>
      <c r="H130" s="199" t="e">
        <f>[1]Sheet1!M96</f>
        <v>#REF!</v>
      </c>
      <c r="I130" s="194">
        <f>+G130-[2]BS!$F$11</f>
        <v>-106555897.00999995</v>
      </c>
    </row>
    <row r="131" spans="1:9" s="172" customFormat="1" ht="15.75" hidden="1" customHeight="1">
      <c r="A131" s="162"/>
      <c r="B131" s="162"/>
      <c r="C131" s="162"/>
      <c r="D131" s="145" t="s">
        <v>2342</v>
      </c>
      <c r="E131" s="148" t="e">
        <f t="shared" si="5"/>
        <v>#REF!</v>
      </c>
      <c r="F131" s="154">
        <f>TB!J98</f>
        <v>0</v>
      </c>
      <c r="G131" s="154">
        <f>[2]TB!J98</f>
        <v>0</v>
      </c>
      <c r="H131" s="202" t="e">
        <f>[1]Sheet1!N97</f>
        <v>#REF!</v>
      </c>
      <c r="I131" s="194">
        <f>+G131-[2]BS!$F$11</f>
        <v>-106555897.00999995</v>
      </c>
    </row>
    <row r="132" spans="1:9" s="172" customFormat="1" ht="15.75" hidden="1" customHeight="1">
      <c r="A132" s="162"/>
      <c r="B132" s="162"/>
      <c r="C132" s="145" t="s">
        <v>505</v>
      </c>
      <c r="D132" s="162"/>
      <c r="E132" s="148" t="e">
        <f t="shared" si="5"/>
        <v>#REF!</v>
      </c>
      <c r="F132" s="154">
        <f>+F133-F134</f>
        <v>0</v>
      </c>
      <c r="G132" s="154">
        <f>+G133-G134</f>
        <v>0</v>
      </c>
      <c r="H132" s="199" t="e">
        <f>+H133-H134</f>
        <v>#REF!</v>
      </c>
      <c r="I132" s="194">
        <f>+G132-[2]BS!$F$11</f>
        <v>-106555897.00999995</v>
      </c>
    </row>
    <row r="133" spans="1:9" s="172" customFormat="1" ht="15.75" hidden="1" customHeight="1">
      <c r="A133" s="162"/>
      <c r="B133" s="162"/>
      <c r="C133" s="162"/>
      <c r="D133" s="145" t="s">
        <v>2344</v>
      </c>
      <c r="E133" s="148" t="e">
        <f t="shared" si="5"/>
        <v>#REF!</v>
      </c>
      <c r="F133" s="154">
        <f>TB!G99</f>
        <v>0</v>
      </c>
      <c r="G133" s="154">
        <f>[2]TB!G99</f>
        <v>0</v>
      </c>
      <c r="H133" s="199" t="e">
        <f>[1]Sheet1!M98</f>
        <v>#REF!</v>
      </c>
      <c r="I133" s="194">
        <f>+G133-[2]BS!$F$11</f>
        <v>-106555897.00999995</v>
      </c>
    </row>
    <row r="134" spans="1:9" s="172" customFormat="1" ht="15.75" hidden="1" customHeight="1">
      <c r="A134" s="162"/>
      <c r="B134" s="162"/>
      <c r="C134" s="162"/>
      <c r="D134" s="145" t="s">
        <v>2346</v>
      </c>
      <c r="E134" s="148" t="e">
        <f t="shared" si="5"/>
        <v>#REF!</v>
      </c>
      <c r="F134" s="154">
        <f>TB!J100</f>
        <v>0</v>
      </c>
      <c r="G134" s="154">
        <f>[2]TB!J100</f>
        <v>0</v>
      </c>
      <c r="H134" s="202" t="e">
        <f>[1]Sheet1!N99</f>
        <v>#REF!</v>
      </c>
      <c r="I134" s="194">
        <f>+G134-[2]BS!$F$11</f>
        <v>-106555897.00999995</v>
      </c>
    </row>
    <row r="135" spans="1:9" s="172" customFormat="1" ht="15.75" hidden="1" customHeight="1">
      <c r="A135" s="162"/>
      <c r="B135" s="162"/>
      <c r="C135" s="145" t="s">
        <v>506</v>
      </c>
      <c r="D135" s="162"/>
      <c r="E135" s="148" t="e">
        <f t="shared" si="5"/>
        <v>#REF!</v>
      </c>
      <c r="F135" s="154">
        <f>+F136-F137</f>
        <v>0</v>
      </c>
      <c r="G135" s="154">
        <f>+G136-G137</f>
        <v>0</v>
      </c>
      <c r="H135" s="199" t="e">
        <f>+H136-H137</f>
        <v>#REF!</v>
      </c>
      <c r="I135" s="194">
        <f>+G135-[2]BS!$F$11</f>
        <v>-106555897.00999995</v>
      </c>
    </row>
    <row r="136" spans="1:9" s="172" customFormat="1" ht="15.75" hidden="1" customHeight="1">
      <c r="A136" s="162"/>
      <c r="B136" s="162"/>
      <c r="C136" s="162"/>
      <c r="D136" s="145" t="s">
        <v>2348</v>
      </c>
      <c r="E136" s="148" t="e">
        <f t="shared" si="5"/>
        <v>#REF!</v>
      </c>
      <c r="F136" s="154">
        <f>TB!G101</f>
        <v>0</v>
      </c>
      <c r="G136" s="154">
        <f>[2]TB!G101</f>
        <v>0</v>
      </c>
      <c r="H136" s="199" t="e">
        <f>[1]Sheet1!M100</f>
        <v>#REF!</v>
      </c>
      <c r="I136" s="194">
        <f>+G136-[2]BS!$F$11</f>
        <v>-106555897.00999995</v>
      </c>
    </row>
    <row r="137" spans="1:9" s="172" customFormat="1" ht="15.75" hidden="1" customHeight="1">
      <c r="A137" s="162"/>
      <c r="B137" s="162"/>
      <c r="C137" s="162"/>
      <c r="D137" s="145" t="s">
        <v>180</v>
      </c>
      <c r="E137" s="148" t="e">
        <f t="shared" si="5"/>
        <v>#REF!</v>
      </c>
      <c r="F137" s="154">
        <f>TB!J102</f>
        <v>0</v>
      </c>
      <c r="G137" s="154">
        <f>[2]TB!J102</f>
        <v>0</v>
      </c>
      <c r="H137" s="202" t="e">
        <f>[1]Sheet1!N101</f>
        <v>#REF!</v>
      </c>
      <c r="I137" s="194">
        <f>+G137-[2]BS!$F$11</f>
        <v>-106555897.00999995</v>
      </c>
    </row>
    <row r="138" spans="1:9" s="194" customFormat="1" ht="15.75" hidden="1" customHeight="1">
      <c r="A138" s="178"/>
      <c r="B138" s="178" t="s">
        <v>507</v>
      </c>
      <c r="C138" s="178"/>
      <c r="D138" s="200"/>
      <c r="E138" s="191" t="e">
        <f>+E139+E142+E145+E148</f>
        <v>#REF!</v>
      </c>
      <c r="F138" s="161">
        <f>+F139+F142+F145+F148</f>
        <v>62568</v>
      </c>
      <c r="G138" s="161">
        <f>+G139+G142+G145+G148</f>
        <v>0</v>
      </c>
      <c r="H138" s="207" t="e">
        <f>+H139+H142+H145+H148</f>
        <v>#REF!</v>
      </c>
      <c r="I138" s="194">
        <f>+G138-[2]BS!$F$11</f>
        <v>-106555897.00999995</v>
      </c>
    </row>
    <row r="139" spans="1:9" s="172" customFormat="1" ht="15.75" hidden="1" customHeight="1">
      <c r="A139" s="162"/>
      <c r="B139" s="162"/>
      <c r="C139" s="145" t="s">
        <v>508</v>
      </c>
      <c r="D139" s="162"/>
      <c r="E139" s="148" t="e">
        <f t="shared" ref="E139:E150" si="6">SUM(F139:H139)</f>
        <v>#REF!</v>
      </c>
      <c r="F139" s="154">
        <f>+F140-F141</f>
        <v>0</v>
      </c>
      <c r="G139" s="154">
        <f>+G140-G141</f>
        <v>0</v>
      </c>
      <c r="H139" s="199" t="e">
        <f>+H140-H141</f>
        <v>#REF!</v>
      </c>
      <c r="I139" s="194">
        <f>+G139-[2]BS!$F$11</f>
        <v>-106555897.00999995</v>
      </c>
    </row>
    <row r="140" spans="1:9" s="172" customFormat="1" ht="15.75" hidden="1" customHeight="1">
      <c r="A140" s="162"/>
      <c r="B140" s="162"/>
      <c r="C140" s="162"/>
      <c r="D140" s="145" t="s">
        <v>182</v>
      </c>
      <c r="E140" s="148" t="e">
        <f t="shared" si="6"/>
        <v>#REF!</v>
      </c>
      <c r="F140" s="154">
        <f>TB!G103</f>
        <v>0</v>
      </c>
      <c r="G140" s="154">
        <f>[2]TB!G103</f>
        <v>0</v>
      </c>
      <c r="H140" s="199" t="e">
        <f>[1]Sheet1!M102</f>
        <v>#REF!</v>
      </c>
      <c r="I140" s="194">
        <f>+G140-[2]BS!$F$11</f>
        <v>-106555897.00999995</v>
      </c>
    </row>
    <row r="141" spans="1:9" s="172" customFormat="1" ht="15.75" hidden="1" customHeight="1">
      <c r="A141" s="162"/>
      <c r="B141" s="162"/>
      <c r="C141" s="162"/>
      <c r="D141" s="145" t="s">
        <v>184</v>
      </c>
      <c r="E141" s="148" t="e">
        <f t="shared" si="6"/>
        <v>#REF!</v>
      </c>
      <c r="F141" s="154">
        <f>TB!J104</f>
        <v>0</v>
      </c>
      <c r="G141" s="154">
        <f>[2]TB!J104</f>
        <v>0</v>
      </c>
      <c r="H141" s="202" t="e">
        <f>[1]Sheet1!N103</f>
        <v>#REF!</v>
      </c>
      <c r="I141" s="194">
        <f>+G141-[2]BS!$F$11</f>
        <v>-106555897.00999995</v>
      </c>
    </row>
    <row r="142" spans="1:9" s="172" customFormat="1" ht="15.75" hidden="1" customHeight="1">
      <c r="A142" s="162"/>
      <c r="B142" s="162"/>
      <c r="C142" s="145" t="s">
        <v>509</v>
      </c>
      <c r="D142" s="162"/>
      <c r="E142" s="148" t="e">
        <f t="shared" si="6"/>
        <v>#REF!</v>
      </c>
      <c r="F142" s="154">
        <f>+F143-F144</f>
        <v>0</v>
      </c>
      <c r="G142" s="154">
        <f>+G143-G144</f>
        <v>0</v>
      </c>
      <c r="H142" s="199" t="e">
        <f>+H143-H144</f>
        <v>#REF!</v>
      </c>
      <c r="I142" s="194">
        <f>+G142-[2]BS!$F$11</f>
        <v>-106555897.00999995</v>
      </c>
    </row>
    <row r="143" spans="1:9" s="172" customFormat="1" ht="15.75" hidden="1" customHeight="1">
      <c r="A143" s="162"/>
      <c r="B143" s="162"/>
      <c r="C143" s="162"/>
      <c r="D143" s="145" t="s">
        <v>186</v>
      </c>
      <c r="E143" s="148" t="e">
        <f t="shared" si="6"/>
        <v>#REF!</v>
      </c>
      <c r="F143" s="154">
        <f>TB!G105</f>
        <v>0</v>
      </c>
      <c r="G143" s="154">
        <f>[2]TB!G105</f>
        <v>0</v>
      </c>
      <c r="H143" s="199" t="e">
        <f>[1]Sheet1!M104</f>
        <v>#REF!</v>
      </c>
      <c r="I143" s="194">
        <f>+G143-[2]BS!$F$11</f>
        <v>-106555897.00999995</v>
      </c>
    </row>
    <row r="144" spans="1:9" s="172" customFormat="1" ht="15.75" hidden="1" customHeight="1">
      <c r="A144" s="162"/>
      <c r="B144" s="162"/>
      <c r="C144" s="162"/>
      <c r="D144" s="145" t="s">
        <v>188</v>
      </c>
      <c r="E144" s="148" t="e">
        <f t="shared" si="6"/>
        <v>#REF!</v>
      </c>
      <c r="F144" s="154">
        <f>TB!J106</f>
        <v>0</v>
      </c>
      <c r="G144" s="154">
        <f>[2]TB!J106</f>
        <v>0</v>
      </c>
      <c r="H144" s="202" t="e">
        <f>[1]Sheet1!N105</f>
        <v>#REF!</v>
      </c>
      <c r="I144" s="194">
        <f>+G144-[2]BS!$F$11</f>
        <v>-106555897.00999995</v>
      </c>
    </row>
    <row r="145" spans="1:9" s="172" customFormat="1" ht="15.75" hidden="1" customHeight="1">
      <c r="A145" s="162"/>
      <c r="B145" s="162"/>
      <c r="C145" s="145" t="s">
        <v>510</v>
      </c>
      <c r="D145" s="162"/>
      <c r="E145" s="148" t="e">
        <f t="shared" si="6"/>
        <v>#REF!</v>
      </c>
      <c r="F145" s="154">
        <f>+F146-F147</f>
        <v>62568</v>
      </c>
      <c r="G145" s="154">
        <f>+G146-G147</f>
        <v>0</v>
      </c>
      <c r="H145" s="199" t="e">
        <f>+H146-H147</f>
        <v>#REF!</v>
      </c>
      <c r="I145" s="194">
        <f>+G145-[2]BS!$F$11</f>
        <v>-106555897.00999995</v>
      </c>
    </row>
    <row r="146" spans="1:9" s="172" customFormat="1" ht="15.75" hidden="1" customHeight="1">
      <c r="A146" s="162"/>
      <c r="B146" s="162"/>
      <c r="C146" s="162"/>
      <c r="D146" s="145" t="s">
        <v>190</v>
      </c>
      <c r="E146" s="148" t="e">
        <f t="shared" si="6"/>
        <v>#REF!</v>
      </c>
      <c r="F146" s="154">
        <f>TB!G107</f>
        <v>62568</v>
      </c>
      <c r="G146" s="154">
        <f>[2]TB!G107</f>
        <v>0</v>
      </c>
      <c r="H146" s="199" t="e">
        <f>[1]Sheet1!M106</f>
        <v>#REF!</v>
      </c>
      <c r="I146" s="194">
        <f>+G146-[2]BS!$F$11</f>
        <v>-106555897.00999995</v>
      </c>
    </row>
    <row r="147" spans="1:9" s="172" customFormat="1" ht="15.75" hidden="1" customHeight="1">
      <c r="A147" s="162"/>
      <c r="B147" s="162"/>
      <c r="C147" s="162"/>
      <c r="D147" s="145" t="s">
        <v>192</v>
      </c>
      <c r="E147" s="148" t="e">
        <f t="shared" si="6"/>
        <v>#REF!</v>
      </c>
      <c r="F147" s="154">
        <f>TB!J108</f>
        <v>0</v>
      </c>
      <c r="G147" s="154">
        <f>[2]TB!J108</f>
        <v>0</v>
      </c>
      <c r="H147" s="202" t="e">
        <f>[1]Sheet1!N107</f>
        <v>#REF!</v>
      </c>
      <c r="I147" s="194">
        <f>+G147-[2]BS!$F$11</f>
        <v>-106555897.00999995</v>
      </c>
    </row>
    <row r="148" spans="1:9" s="172" customFormat="1" ht="15.75" hidden="1" customHeight="1">
      <c r="A148" s="162"/>
      <c r="B148" s="162"/>
      <c r="C148" s="145" t="s">
        <v>511</v>
      </c>
      <c r="D148" s="162"/>
      <c r="E148" s="148" t="e">
        <f t="shared" si="6"/>
        <v>#REF!</v>
      </c>
      <c r="F148" s="154">
        <f>+F149-F150</f>
        <v>0</v>
      </c>
      <c r="G148" s="154">
        <f>+G149-G150</f>
        <v>0</v>
      </c>
      <c r="H148" s="199" t="e">
        <f>+H149-H150</f>
        <v>#REF!</v>
      </c>
      <c r="I148" s="194">
        <f>+G148-[2]BS!$F$11</f>
        <v>-106555897.00999995</v>
      </c>
    </row>
    <row r="149" spans="1:9" s="172" customFormat="1" ht="15.75" hidden="1" customHeight="1">
      <c r="A149" s="162"/>
      <c r="B149" s="162"/>
      <c r="C149" s="162"/>
      <c r="D149" s="145" t="s">
        <v>194</v>
      </c>
      <c r="E149" s="148" t="e">
        <f t="shared" si="6"/>
        <v>#REF!</v>
      </c>
      <c r="F149" s="154">
        <f>TB!G109</f>
        <v>0</v>
      </c>
      <c r="G149" s="154">
        <f>[2]TB!G109</f>
        <v>0</v>
      </c>
      <c r="H149" s="199" t="e">
        <f>[1]Sheet1!M108</f>
        <v>#REF!</v>
      </c>
      <c r="I149" s="194">
        <f>+G149-[2]BS!$F$11</f>
        <v>-106555897.00999995</v>
      </c>
    </row>
    <row r="150" spans="1:9" s="172" customFormat="1" ht="15.75" hidden="1" customHeight="1">
      <c r="A150" s="162"/>
      <c r="B150" s="162"/>
      <c r="C150" s="162"/>
      <c r="D150" s="145" t="s">
        <v>196</v>
      </c>
      <c r="E150" s="148" t="e">
        <f t="shared" si="6"/>
        <v>#REF!</v>
      </c>
      <c r="F150" s="154">
        <f>TB!J110</f>
        <v>0</v>
      </c>
      <c r="G150" s="154">
        <f>[2]TB!J110</f>
        <v>0</v>
      </c>
      <c r="H150" s="202" t="e">
        <f>[1]Sheet1!N109</f>
        <v>#REF!</v>
      </c>
      <c r="I150" s="194">
        <f>+G150-[2]BS!$F$11</f>
        <v>-106555897.00999995</v>
      </c>
    </row>
    <row r="151" spans="1:9" s="194" customFormat="1" ht="15.75" hidden="1" customHeight="1">
      <c r="A151" s="178"/>
      <c r="B151" s="178" t="s">
        <v>512</v>
      </c>
      <c r="C151" s="178"/>
      <c r="D151" s="200"/>
      <c r="E151" s="195" t="e">
        <f>+E152+E155+E158+E161+E164+E167+E170+E173+E176+E179+E182+E185</f>
        <v>#REF!</v>
      </c>
      <c r="F151" s="196">
        <f>+F152+F155+F158+F161+F164+F167+F170+F173+F176+F179+F182+F185</f>
        <v>0</v>
      </c>
      <c r="G151" s="196">
        <f>+G152+G155+G158+G161+G164+G167+G170+G173+G176+G179+G182+G185</f>
        <v>0</v>
      </c>
      <c r="H151" s="198" t="e">
        <f>+H152+H155+H158+H161+H164+H167+H170+H173+H176+H179+H182+H185</f>
        <v>#REF!</v>
      </c>
      <c r="I151" s="194">
        <f>+G151-[2]BS!$F$11</f>
        <v>-106555897.00999995</v>
      </c>
    </row>
    <row r="152" spans="1:9" s="172" customFormat="1" ht="15.75" hidden="1" customHeight="1">
      <c r="A152" s="162"/>
      <c r="B152" s="162"/>
      <c r="C152" s="145" t="s">
        <v>513</v>
      </c>
      <c r="D152" s="162"/>
      <c r="E152" s="148" t="e">
        <f t="shared" ref="E152:E187" si="7">SUM(F152:H152)</f>
        <v>#REF!</v>
      </c>
      <c r="F152" s="154">
        <f>+F153-F154</f>
        <v>0</v>
      </c>
      <c r="G152" s="154">
        <f>+G153-G154</f>
        <v>0</v>
      </c>
      <c r="H152" s="199" t="e">
        <f>+H153-H154</f>
        <v>#REF!</v>
      </c>
      <c r="I152" s="194">
        <f>+G152-[2]BS!$F$11</f>
        <v>-106555897.00999995</v>
      </c>
    </row>
    <row r="153" spans="1:9" s="172" customFormat="1" ht="15.75" hidden="1" customHeight="1">
      <c r="A153" s="162"/>
      <c r="B153" s="162"/>
      <c r="C153" s="162"/>
      <c r="D153" s="145" t="s">
        <v>198</v>
      </c>
      <c r="E153" s="148" t="e">
        <f t="shared" si="7"/>
        <v>#REF!</v>
      </c>
      <c r="F153" s="154">
        <f>TB!G111</f>
        <v>0</v>
      </c>
      <c r="G153" s="154">
        <f>[2]TB!G111</f>
        <v>0</v>
      </c>
      <c r="H153" s="199" t="e">
        <f>[1]Sheet1!M110</f>
        <v>#REF!</v>
      </c>
      <c r="I153" s="194">
        <f>+G153-[2]BS!$F$11</f>
        <v>-106555897.00999995</v>
      </c>
    </row>
    <row r="154" spans="1:9" s="172" customFormat="1" ht="15.75" hidden="1" customHeight="1">
      <c r="A154" s="162"/>
      <c r="B154" s="162"/>
      <c r="C154" s="162"/>
      <c r="D154" s="145" t="s">
        <v>200</v>
      </c>
      <c r="E154" s="148" t="e">
        <f t="shared" si="7"/>
        <v>#REF!</v>
      </c>
      <c r="F154" s="154">
        <f>TB!J112</f>
        <v>0</v>
      </c>
      <c r="G154" s="154">
        <f>[2]TB!J112</f>
        <v>0</v>
      </c>
      <c r="H154" s="202" t="e">
        <f>[1]Sheet1!N111</f>
        <v>#REF!</v>
      </c>
      <c r="I154" s="194">
        <f>+G154-[2]BS!$F$11</f>
        <v>-106555897.00999995</v>
      </c>
    </row>
    <row r="155" spans="1:9" s="172" customFormat="1" ht="15.75" hidden="1" customHeight="1">
      <c r="A155" s="162"/>
      <c r="B155" s="162"/>
      <c r="C155" s="145" t="s">
        <v>514</v>
      </c>
      <c r="D155" s="162"/>
      <c r="E155" s="148" t="e">
        <f t="shared" si="7"/>
        <v>#REF!</v>
      </c>
      <c r="F155" s="154">
        <f>+F156-F157</f>
        <v>0</v>
      </c>
      <c r="G155" s="154">
        <f>+G156-G157</f>
        <v>0</v>
      </c>
      <c r="H155" s="199" t="e">
        <f>+H156-H157</f>
        <v>#REF!</v>
      </c>
      <c r="I155" s="194">
        <f>+G155-[2]BS!$F$11</f>
        <v>-106555897.00999995</v>
      </c>
    </row>
    <row r="156" spans="1:9" s="172" customFormat="1" ht="15.75" hidden="1" customHeight="1">
      <c r="A156" s="162"/>
      <c r="B156" s="162"/>
      <c r="C156" s="162"/>
      <c r="D156" s="145" t="s">
        <v>2355</v>
      </c>
      <c r="E156" s="148" t="e">
        <f t="shared" si="7"/>
        <v>#REF!</v>
      </c>
      <c r="F156" s="154">
        <f>TB!G113</f>
        <v>0</v>
      </c>
      <c r="G156" s="154">
        <f>[2]TB!G113</f>
        <v>0</v>
      </c>
      <c r="H156" s="199" t="e">
        <f>[1]Sheet1!M112</f>
        <v>#REF!</v>
      </c>
      <c r="I156" s="194">
        <f>+G156-[2]BS!$F$11</f>
        <v>-106555897.00999995</v>
      </c>
    </row>
    <row r="157" spans="1:9" s="172" customFormat="1" ht="15.75" hidden="1" customHeight="1">
      <c r="A157" s="162"/>
      <c r="B157" s="162"/>
      <c r="C157" s="162"/>
      <c r="D157" s="145" t="s">
        <v>2357</v>
      </c>
      <c r="E157" s="148" t="e">
        <f t="shared" si="7"/>
        <v>#REF!</v>
      </c>
      <c r="F157" s="154">
        <f>TB!J114</f>
        <v>0</v>
      </c>
      <c r="G157" s="154">
        <f>[2]TB!J114</f>
        <v>0</v>
      </c>
      <c r="H157" s="202" t="e">
        <f>[1]Sheet1!N113</f>
        <v>#REF!</v>
      </c>
      <c r="I157" s="194">
        <f>+G157-[2]BS!$F$11</f>
        <v>-106555897.00999995</v>
      </c>
    </row>
    <row r="158" spans="1:9" s="172" customFormat="1" ht="15.75" hidden="1" customHeight="1">
      <c r="A158" s="162"/>
      <c r="B158" s="162"/>
      <c r="C158" s="145" t="s">
        <v>515</v>
      </c>
      <c r="D158" s="162"/>
      <c r="E158" s="148" t="e">
        <f t="shared" si="7"/>
        <v>#REF!</v>
      </c>
      <c r="F158" s="154">
        <f>+F159-F160</f>
        <v>0</v>
      </c>
      <c r="G158" s="154">
        <f>+G159-G160</f>
        <v>0</v>
      </c>
      <c r="H158" s="199" t="e">
        <f>+H159-H160</f>
        <v>#REF!</v>
      </c>
      <c r="I158" s="194">
        <f>+G158-[2]BS!$F$11</f>
        <v>-106555897.00999995</v>
      </c>
    </row>
    <row r="159" spans="1:9" s="172" customFormat="1" ht="15.75" hidden="1" customHeight="1">
      <c r="A159" s="162"/>
      <c r="B159" s="162"/>
      <c r="C159" s="162"/>
      <c r="D159" s="145" t="s">
        <v>2359</v>
      </c>
      <c r="E159" s="148" t="e">
        <f t="shared" si="7"/>
        <v>#REF!</v>
      </c>
      <c r="F159" s="154">
        <f>TB!G115</f>
        <v>0</v>
      </c>
      <c r="G159" s="154">
        <f>[2]TB!G115</f>
        <v>0</v>
      </c>
      <c r="H159" s="199" t="e">
        <f>[1]Sheet1!M114</f>
        <v>#REF!</v>
      </c>
      <c r="I159" s="194">
        <f>+G159-[2]BS!$F$11</f>
        <v>-106555897.00999995</v>
      </c>
    </row>
    <row r="160" spans="1:9" s="172" customFormat="1" ht="15.75" hidden="1" customHeight="1">
      <c r="A160" s="162"/>
      <c r="B160" s="162"/>
      <c r="C160" s="162"/>
      <c r="D160" s="145" t="s">
        <v>2361</v>
      </c>
      <c r="E160" s="148" t="e">
        <f t="shared" si="7"/>
        <v>#REF!</v>
      </c>
      <c r="F160" s="154">
        <f>TB!J116</f>
        <v>0</v>
      </c>
      <c r="G160" s="154">
        <f>[2]TB!J116</f>
        <v>0</v>
      </c>
      <c r="H160" s="202" t="e">
        <f>[1]Sheet1!N115</f>
        <v>#REF!</v>
      </c>
      <c r="I160" s="194">
        <f>+G160-[2]BS!$F$11</f>
        <v>-106555897.00999995</v>
      </c>
    </row>
    <row r="161" spans="1:9" s="172" customFormat="1" ht="15.75" hidden="1" customHeight="1">
      <c r="A161" s="162"/>
      <c r="B161" s="162"/>
      <c r="C161" s="145" t="s">
        <v>516</v>
      </c>
      <c r="D161" s="162"/>
      <c r="E161" s="148" t="e">
        <f t="shared" si="7"/>
        <v>#REF!</v>
      </c>
      <c r="F161" s="154">
        <f>+F162-F163</f>
        <v>0</v>
      </c>
      <c r="G161" s="154">
        <f>+G162-G163</f>
        <v>0</v>
      </c>
      <c r="H161" s="199" t="e">
        <f>+H162-H163</f>
        <v>#REF!</v>
      </c>
      <c r="I161" s="194">
        <f>+G161-[2]BS!$F$11</f>
        <v>-106555897.00999995</v>
      </c>
    </row>
    <row r="162" spans="1:9" s="172" customFormat="1" ht="15.75" hidden="1" customHeight="1">
      <c r="A162" s="162"/>
      <c r="B162" s="162"/>
      <c r="C162" s="162"/>
      <c r="D162" s="145" t="s">
        <v>2363</v>
      </c>
      <c r="E162" s="148" t="e">
        <f t="shared" si="7"/>
        <v>#REF!</v>
      </c>
      <c r="F162" s="154">
        <f>TB!G117</f>
        <v>0</v>
      </c>
      <c r="G162" s="154">
        <f>[2]TB!G117</f>
        <v>0</v>
      </c>
      <c r="H162" s="199" t="e">
        <f>[1]Sheet1!M116</f>
        <v>#REF!</v>
      </c>
      <c r="I162" s="194">
        <f>+G162-[2]BS!$F$11</f>
        <v>-106555897.00999995</v>
      </c>
    </row>
    <row r="163" spans="1:9" s="172" customFormat="1" ht="15.75" hidden="1" customHeight="1">
      <c r="A163" s="162"/>
      <c r="B163" s="162"/>
      <c r="C163" s="162"/>
      <c r="D163" s="145" t="s">
        <v>517</v>
      </c>
      <c r="E163" s="148" t="e">
        <f t="shared" si="7"/>
        <v>#REF!</v>
      </c>
      <c r="F163" s="154">
        <f>TB!J118</f>
        <v>0</v>
      </c>
      <c r="G163" s="154">
        <f>[2]TB!J118</f>
        <v>0</v>
      </c>
      <c r="H163" s="202" t="e">
        <f>[1]Sheet1!N117</f>
        <v>#REF!</v>
      </c>
      <c r="I163" s="194">
        <f>+G163-[2]BS!$F$11</f>
        <v>-106555897.00999995</v>
      </c>
    </row>
    <row r="164" spans="1:9" s="172" customFormat="1" ht="15.75" hidden="1" customHeight="1">
      <c r="A164" s="162"/>
      <c r="B164" s="162"/>
      <c r="C164" s="145" t="s">
        <v>518</v>
      </c>
      <c r="D164" s="162"/>
      <c r="E164" s="148" t="e">
        <f t="shared" si="7"/>
        <v>#REF!</v>
      </c>
      <c r="F164" s="154">
        <f>+F165-F166</f>
        <v>0</v>
      </c>
      <c r="G164" s="154">
        <f>+G165-G166</f>
        <v>0</v>
      </c>
      <c r="H164" s="199" t="e">
        <f>+H165-H166</f>
        <v>#REF!</v>
      </c>
      <c r="I164" s="194">
        <f>+G164-[2]BS!$F$11</f>
        <v>-106555897.00999995</v>
      </c>
    </row>
    <row r="165" spans="1:9" s="172" customFormat="1" ht="15.75" hidden="1" customHeight="1">
      <c r="A165" s="162"/>
      <c r="B165" s="162"/>
      <c r="C165" s="162"/>
      <c r="D165" s="145" t="s">
        <v>2367</v>
      </c>
      <c r="E165" s="148" t="e">
        <f t="shared" si="7"/>
        <v>#REF!</v>
      </c>
      <c r="F165" s="154">
        <f>TB!G119</f>
        <v>0</v>
      </c>
      <c r="G165" s="154">
        <f>[2]TB!G119</f>
        <v>0</v>
      </c>
      <c r="H165" s="199" t="e">
        <f>[1]Sheet1!M118</f>
        <v>#REF!</v>
      </c>
      <c r="I165" s="194">
        <f>+G165-[2]BS!$F$11</f>
        <v>-106555897.00999995</v>
      </c>
    </row>
    <row r="166" spans="1:9" s="172" customFormat="1" ht="15.75" hidden="1" customHeight="1">
      <c r="A166" s="162"/>
      <c r="B166" s="162"/>
      <c r="C166" s="162"/>
      <c r="D166" s="145" t="s">
        <v>2522</v>
      </c>
      <c r="E166" s="148" t="e">
        <f t="shared" si="7"/>
        <v>#REF!</v>
      </c>
      <c r="F166" s="154">
        <f>TB!J120</f>
        <v>0</v>
      </c>
      <c r="G166" s="154">
        <f>[2]TB!J120</f>
        <v>0</v>
      </c>
      <c r="H166" s="202" t="e">
        <f>[1]Sheet1!N119</f>
        <v>#REF!</v>
      </c>
      <c r="I166" s="194">
        <f>+G166-[2]BS!$F$11</f>
        <v>-106555897.00999995</v>
      </c>
    </row>
    <row r="167" spans="1:9" s="172" customFormat="1" ht="15.75" hidden="1" customHeight="1">
      <c r="A167" s="162"/>
      <c r="B167" s="162"/>
      <c r="C167" s="145" t="s">
        <v>519</v>
      </c>
      <c r="D167" s="162"/>
      <c r="E167" s="148" t="e">
        <f t="shared" si="7"/>
        <v>#REF!</v>
      </c>
      <c r="F167" s="154">
        <f>+F168-F169</f>
        <v>0</v>
      </c>
      <c r="G167" s="154">
        <f>+G168-G169</f>
        <v>0</v>
      </c>
      <c r="H167" s="199" t="e">
        <f>+H168-H169</f>
        <v>#REF!</v>
      </c>
      <c r="I167" s="194">
        <f>+G167-[2]BS!$F$11</f>
        <v>-106555897.00999995</v>
      </c>
    </row>
    <row r="168" spans="1:9" s="172" customFormat="1" ht="15.75" hidden="1" customHeight="1">
      <c r="A168" s="162"/>
      <c r="B168" s="162"/>
      <c r="C168" s="162"/>
      <c r="D168" s="145" t="s">
        <v>2524</v>
      </c>
      <c r="E168" s="148" t="e">
        <f t="shared" si="7"/>
        <v>#REF!</v>
      </c>
      <c r="F168" s="154">
        <f>TB!G121</f>
        <v>0</v>
      </c>
      <c r="G168" s="154">
        <f>[2]TB!G121</f>
        <v>0</v>
      </c>
      <c r="H168" s="199" t="e">
        <f>[1]Sheet1!M120</f>
        <v>#REF!</v>
      </c>
      <c r="I168" s="194">
        <f>+G168-[2]BS!$F$11</f>
        <v>-106555897.00999995</v>
      </c>
    </row>
    <row r="169" spans="1:9" s="172" customFormat="1" ht="15.75" hidden="1" customHeight="1">
      <c r="A169" s="162"/>
      <c r="B169" s="162"/>
      <c r="C169" s="162"/>
      <c r="D169" s="145" t="s">
        <v>2526</v>
      </c>
      <c r="E169" s="148" t="e">
        <f t="shared" si="7"/>
        <v>#REF!</v>
      </c>
      <c r="F169" s="154">
        <f>TB!J122</f>
        <v>0</v>
      </c>
      <c r="G169" s="154">
        <f>[2]TB!J122</f>
        <v>0</v>
      </c>
      <c r="H169" s="202" t="e">
        <f>[1]Sheet1!N121</f>
        <v>#REF!</v>
      </c>
      <c r="I169" s="194">
        <f>+G169-[2]BS!$F$11</f>
        <v>-106555897.00999995</v>
      </c>
    </row>
    <row r="170" spans="1:9" s="172" customFormat="1" ht="15.75" hidden="1" customHeight="1">
      <c r="A170" s="162"/>
      <c r="B170" s="162"/>
      <c r="C170" s="145" t="s">
        <v>520</v>
      </c>
      <c r="D170" s="162"/>
      <c r="E170" s="148" t="e">
        <f t="shared" si="7"/>
        <v>#REF!</v>
      </c>
      <c r="F170" s="154">
        <f>+F171-F172</f>
        <v>0</v>
      </c>
      <c r="G170" s="154">
        <f>+G171-G172</f>
        <v>0</v>
      </c>
      <c r="H170" s="199" t="e">
        <f>+H171-H172</f>
        <v>#REF!</v>
      </c>
      <c r="I170" s="194">
        <f>+G170-[2]BS!$F$11</f>
        <v>-106555897.00999995</v>
      </c>
    </row>
    <row r="171" spans="1:9" s="172" customFormat="1" ht="15.75" hidden="1" customHeight="1">
      <c r="A171" s="162"/>
      <c r="B171" s="162"/>
      <c r="C171" s="162"/>
      <c r="D171" s="145" t="s">
        <v>2528</v>
      </c>
      <c r="E171" s="148" t="e">
        <f t="shared" si="7"/>
        <v>#REF!</v>
      </c>
      <c r="F171" s="154">
        <f>TB!G123</f>
        <v>0</v>
      </c>
      <c r="G171" s="154">
        <f>[2]TB!G123</f>
        <v>0</v>
      </c>
      <c r="H171" s="199" t="e">
        <f>[1]Sheet1!M122</f>
        <v>#REF!</v>
      </c>
      <c r="I171" s="194">
        <f>+G171-[2]BS!$F$11</f>
        <v>-106555897.00999995</v>
      </c>
    </row>
    <row r="172" spans="1:9" s="172" customFormat="1" ht="15.75" hidden="1" customHeight="1">
      <c r="A172" s="162"/>
      <c r="B172" s="162"/>
      <c r="C172" s="162"/>
      <c r="D172" s="145" t="s">
        <v>2530</v>
      </c>
      <c r="E172" s="148" t="e">
        <f t="shared" si="7"/>
        <v>#REF!</v>
      </c>
      <c r="F172" s="154">
        <f>TB!J124</f>
        <v>0</v>
      </c>
      <c r="G172" s="154">
        <f>[2]TB!J124</f>
        <v>0</v>
      </c>
      <c r="H172" s="202" t="e">
        <f>[1]Sheet1!N123</f>
        <v>#REF!</v>
      </c>
      <c r="I172" s="194">
        <f>+G172-[2]BS!$F$11</f>
        <v>-106555897.00999995</v>
      </c>
    </row>
    <row r="173" spans="1:9" s="172" customFormat="1" ht="15.75" hidden="1" customHeight="1">
      <c r="A173" s="162"/>
      <c r="B173" s="162"/>
      <c r="C173" s="145" t="s">
        <v>1408</v>
      </c>
      <c r="D173" s="162"/>
      <c r="E173" s="148" t="e">
        <f t="shared" si="7"/>
        <v>#REF!</v>
      </c>
      <c r="F173" s="154">
        <f>+F174-F175</f>
        <v>0</v>
      </c>
      <c r="G173" s="154">
        <f>+G174-G175</f>
        <v>0</v>
      </c>
      <c r="H173" s="199" t="e">
        <f>+H174-H175</f>
        <v>#REF!</v>
      </c>
      <c r="I173" s="194">
        <f>+G173-[2]BS!$F$11</f>
        <v>-106555897.00999995</v>
      </c>
    </row>
    <row r="174" spans="1:9" s="172" customFormat="1" ht="15.75" hidden="1" customHeight="1">
      <c r="A174" s="162"/>
      <c r="B174" s="162"/>
      <c r="C174" s="162"/>
      <c r="D174" s="145" t="s">
        <v>2532</v>
      </c>
      <c r="E174" s="148" t="e">
        <f t="shared" si="7"/>
        <v>#REF!</v>
      </c>
      <c r="F174" s="154">
        <f>TB!G125</f>
        <v>0</v>
      </c>
      <c r="G174" s="154">
        <f>[2]TB!G125</f>
        <v>0</v>
      </c>
      <c r="H174" s="199" t="e">
        <f>[1]Sheet1!M124</f>
        <v>#REF!</v>
      </c>
      <c r="I174" s="194">
        <f>+G174-[2]BS!$F$11</f>
        <v>-106555897.00999995</v>
      </c>
    </row>
    <row r="175" spans="1:9" s="172" customFormat="1" ht="24" hidden="1" customHeight="1">
      <c r="A175" s="162"/>
      <c r="B175" s="162"/>
      <c r="C175" s="162"/>
      <c r="D175" s="153" t="s">
        <v>1475</v>
      </c>
      <c r="E175" s="148" t="e">
        <f t="shared" si="7"/>
        <v>#REF!</v>
      </c>
      <c r="F175" s="154">
        <f>TB!J126</f>
        <v>0</v>
      </c>
      <c r="G175" s="154">
        <f>[2]TB!J126</f>
        <v>0</v>
      </c>
      <c r="H175" s="202" t="e">
        <f>[1]Sheet1!N125</f>
        <v>#REF!</v>
      </c>
      <c r="I175" s="194">
        <f>+G175-[2]BS!$F$11</f>
        <v>-106555897.00999995</v>
      </c>
    </row>
    <row r="176" spans="1:9" s="172" customFormat="1" ht="15.75" hidden="1" customHeight="1">
      <c r="A176" s="162"/>
      <c r="B176" s="162"/>
      <c r="C176" s="145" t="s">
        <v>2219</v>
      </c>
      <c r="D176" s="162"/>
      <c r="E176" s="148" t="e">
        <f t="shared" si="7"/>
        <v>#REF!</v>
      </c>
      <c r="F176" s="154">
        <f>+F177-F178</f>
        <v>0</v>
      </c>
      <c r="G176" s="154">
        <f>+G177-G178</f>
        <v>0</v>
      </c>
      <c r="H176" s="199" t="e">
        <f>+H177-H178</f>
        <v>#REF!</v>
      </c>
      <c r="I176" s="194">
        <f>+G176-[2]BS!$F$11</f>
        <v>-106555897.00999995</v>
      </c>
    </row>
    <row r="177" spans="1:9" s="172" customFormat="1" ht="15.75" hidden="1" customHeight="1">
      <c r="A177" s="162"/>
      <c r="B177" s="162"/>
      <c r="C177" s="162"/>
      <c r="D177" s="145" t="s">
        <v>1477</v>
      </c>
      <c r="E177" s="148" t="e">
        <f t="shared" si="7"/>
        <v>#REF!</v>
      </c>
      <c r="F177" s="154">
        <f>TB!G127</f>
        <v>0</v>
      </c>
      <c r="G177" s="154">
        <f>[2]TB!G127</f>
        <v>0</v>
      </c>
      <c r="H177" s="199" t="e">
        <f>[1]Sheet1!M126</f>
        <v>#REF!</v>
      </c>
      <c r="I177" s="194">
        <f>+G177-[2]BS!$F$11</f>
        <v>-106555897.00999995</v>
      </c>
    </row>
    <row r="178" spans="1:9" s="172" customFormat="1" ht="15.75" hidden="1" customHeight="1">
      <c r="A178" s="162"/>
      <c r="B178" s="162"/>
      <c r="C178" s="162"/>
      <c r="D178" s="145" t="s">
        <v>1479</v>
      </c>
      <c r="E178" s="148" t="e">
        <f t="shared" si="7"/>
        <v>#REF!</v>
      </c>
      <c r="F178" s="154">
        <f>TB!J128</f>
        <v>0</v>
      </c>
      <c r="G178" s="154">
        <f>[2]TB!J128</f>
        <v>0</v>
      </c>
      <c r="H178" s="202" t="e">
        <f>[1]Sheet1!N127</f>
        <v>#REF!</v>
      </c>
      <c r="I178" s="194">
        <f>+G178-[2]BS!$F$11</f>
        <v>-106555897.00999995</v>
      </c>
    </row>
    <row r="179" spans="1:9" s="172" customFormat="1" ht="15.75" hidden="1" customHeight="1">
      <c r="A179" s="162"/>
      <c r="B179" s="162"/>
      <c r="C179" s="145" t="s">
        <v>2220</v>
      </c>
      <c r="D179" s="162"/>
      <c r="E179" s="148" t="e">
        <f t="shared" si="7"/>
        <v>#REF!</v>
      </c>
      <c r="F179" s="154">
        <f>+F180-F181</f>
        <v>0</v>
      </c>
      <c r="G179" s="154">
        <f>+G180-G181</f>
        <v>0</v>
      </c>
      <c r="H179" s="199" t="e">
        <f>+H180-H181</f>
        <v>#REF!</v>
      </c>
      <c r="I179" s="194">
        <f>+G179-[2]BS!$F$11</f>
        <v>-106555897.00999995</v>
      </c>
    </row>
    <row r="180" spans="1:9" s="172" customFormat="1" ht="15.75" hidden="1" customHeight="1">
      <c r="A180" s="162"/>
      <c r="B180" s="162"/>
      <c r="C180" s="162"/>
      <c r="D180" s="145" t="s">
        <v>1481</v>
      </c>
      <c r="E180" s="148" t="e">
        <f t="shared" si="7"/>
        <v>#REF!</v>
      </c>
      <c r="F180" s="154">
        <f>TB!G129</f>
        <v>0</v>
      </c>
      <c r="G180" s="154">
        <f>[2]TB!G129</f>
        <v>0</v>
      </c>
      <c r="H180" s="199" t="e">
        <f>[1]Sheet1!M128</f>
        <v>#REF!</v>
      </c>
      <c r="I180" s="194">
        <f>+G180-[2]BS!$F$11</f>
        <v>-106555897.00999995</v>
      </c>
    </row>
    <row r="181" spans="1:9" s="172" customFormat="1" ht="15.75" hidden="1" customHeight="1">
      <c r="A181" s="162"/>
      <c r="B181" s="162"/>
      <c r="C181" s="162"/>
      <c r="D181" s="145" t="s">
        <v>1483</v>
      </c>
      <c r="E181" s="148" t="e">
        <f t="shared" si="7"/>
        <v>#REF!</v>
      </c>
      <c r="F181" s="154">
        <f>TB!J130</f>
        <v>0</v>
      </c>
      <c r="G181" s="154">
        <f>[2]TB!J130</f>
        <v>0</v>
      </c>
      <c r="H181" s="202" t="e">
        <f>[1]Sheet1!N129</f>
        <v>#REF!</v>
      </c>
      <c r="I181" s="194">
        <f>+G181-[2]BS!$F$11</f>
        <v>-106555897.00999995</v>
      </c>
    </row>
    <row r="182" spans="1:9" s="172" customFormat="1" ht="15.75" hidden="1" customHeight="1">
      <c r="A182" s="162"/>
      <c r="B182" s="162"/>
      <c r="C182" s="145" t="s">
        <v>2221</v>
      </c>
      <c r="D182" s="162"/>
      <c r="E182" s="148" t="e">
        <f t="shared" si="7"/>
        <v>#REF!</v>
      </c>
      <c r="F182" s="154">
        <f>+F183-F184</f>
        <v>0</v>
      </c>
      <c r="G182" s="154">
        <f>+G183-G184</f>
        <v>0</v>
      </c>
      <c r="H182" s="199" t="e">
        <f>+H183-H184</f>
        <v>#REF!</v>
      </c>
      <c r="I182" s="194">
        <f>+G182-[2]BS!$F$11</f>
        <v>-106555897.00999995</v>
      </c>
    </row>
    <row r="183" spans="1:9" s="172" customFormat="1" ht="15.75" hidden="1" customHeight="1">
      <c r="A183" s="162"/>
      <c r="B183" s="162"/>
      <c r="C183" s="162"/>
      <c r="D183" s="145" t="s">
        <v>1485</v>
      </c>
      <c r="E183" s="148" t="e">
        <f t="shared" si="7"/>
        <v>#REF!</v>
      </c>
      <c r="F183" s="154">
        <f>TB!G131</f>
        <v>0</v>
      </c>
      <c r="G183" s="154">
        <f>[2]TB!G131</f>
        <v>0</v>
      </c>
      <c r="H183" s="199" t="e">
        <f>[1]Sheet1!M130</f>
        <v>#REF!</v>
      </c>
      <c r="I183" s="194">
        <f>+G183-[2]BS!$F$11</f>
        <v>-106555897.00999995</v>
      </c>
    </row>
    <row r="184" spans="1:9" s="172" customFormat="1" ht="15.75" hidden="1" customHeight="1">
      <c r="A184" s="162"/>
      <c r="B184" s="162"/>
      <c r="C184" s="162"/>
      <c r="D184" s="145" t="s">
        <v>8</v>
      </c>
      <c r="E184" s="148" t="e">
        <f t="shared" si="7"/>
        <v>#REF!</v>
      </c>
      <c r="F184" s="154">
        <f>TB!J132</f>
        <v>0</v>
      </c>
      <c r="G184" s="154">
        <f>[2]TB!J132</f>
        <v>0</v>
      </c>
      <c r="H184" s="202" t="e">
        <f>[1]Sheet1!N131</f>
        <v>#REF!</v>
      </c>
      <c r="I184" s="194">
        <f>+G184-[2]BS!$F$11</f>
        <v>-106555897.00999995</v>
      </c>
    </row>
    <row r="185" spans="1:9" s="172" customFormat="1" ht="15.75" hidden="1" customHeight="1">
      <c r="A185" s="162"/>
      <c r="B185" s="162"/>
      <c r="C185" s="145" t="s">
        <v>2222</v>
      </c>
      <c r="D185" s="162"/>
      <c r="E185" s="148" t="e">
        <f t="shared" si="7"/>
        <v>#REF!</v>
      </c>
      <c r="F185" s="154">
        <f>+F186-F187</f>
        <v>0</v>
      </c>
      <c r="G185" s="154">
        <f>+G186-G187</f>
        <v>0</v>
      </c>
      <c r="H185" s="199" t="e">
        <f>+H186-H187</f>
        <v>#REF!</v>
      </c>
      <c r="I185" s="194">
        <f>+G185-[2]BS!$F$11</f>
        <v>-106555897.00999995</v>
      </c>
    </row>
    <row r="186" spans="1:9" s="172" customFormat="1" ht="15.75" hidden="1" customHeight="1">
      <c r="A186" s="162"/>
      <c r="B186" s="162"/>
      <c r="C186" s="162"/>
      <c r="D186" s="145" t="s">
        <v>2098</v>
      </c>
      <c r="E186" s="148" t="e">
        <f t="shared" si="7"/>
        <v>#REF!</v>
      </c>
      <c r="F186" s="154">
        <f>TB!G133</f>
        <v>0</v>
      </c>
      <c r="G186" s="154">
        <f>[2]TB!G133</f>
        <v>0</v>
      </c>
      <c r="H186" s="199" t="e">
        <f>[1]Sheet1!M132</f>
        <v>#REF!</v>
      </c>
      <c r="I186" s="194">
        <f>+G186-[2]BS!$F$11</f>
        <v>-106555897.00999995</v>
      </c>
    </row>
    <row r="187" spans="1:9" s="172" customFormat="1" ht="15.75" hidden="1" customHeight="1">
      <c r="A187" s="162"/>
      <c r="B187" s="162"/>
      <c r="C187" s="162"/>
      <c r="D187" s="145" t="s">
        <v>2278</v>
      </c>
      <c r="E187" s="148" t="e">
        <f t="shared" si="7"/>
        <v>#REF!</v>
      </c>
      <c r="F187" s="154">
        <f>TB!J134</f>
        <v>0</v>
      </c>
      <c r="G187" s="154">
        <f>[2]TB!J134</f>
        <v>0</v>
      </c>
      <c r="H187" s="202" t="e">
        <f>[1]Sheet1!N133</f>
        <v>#REF!</v>
      </c>
      <c r="I187" s="194">
        <f>+G187-[2]BS!$F$11</f>
        <v>-106555897.00999995</v>
      </c>
    </row>
    <row r="188" spans="1:9" s="194" customFormat="1" ht="15.75" hidden="1" customHeight="1">
      <c r="A188" s="178"/>
      <c r="B188" s="178" t="s">
        <v>2261</v>
      </c>
      <c r="C188" s="178"/>
      <c r="D188" s="200"/>
      <c r="E188" s="195" t="e">
        <f>+E189+E192+E195+E198+E201</f>
        <v>#REF!</v>
      </c>
      <c r="F188" s="196">
        <f>+F189+F192+F195+F198+F201</f>
        <v>0</v>
      </c>
      <c r="G188" s="196">
        <f>+G189+G192+G195+G198+G201</f>
        <v>0</v>
      </c>
      <c r="H188" s="198" t="e">
        <f>+H189+H192+H195+H198+H201</f>
        <v>#REF!</v>
      </c>
      <c r="I188" s="194">
        <f>+G188-[2]BS!$F$11</f>
        <v>-106555897.00999995</v>
      </c>
    </row>
    <row r="189" spans="1:9" s="172" customFormat="1" ht="15.75" hidden="1" customHeight="1">
      <c r="A189" s="162"/>
      <c r="B189" s="162"/>
      <c r="C189" s="145" t="s">
        <v>2262</v>
      </c>
      <c r="D189" s="162"/>
      <c r="E189" s="148" t="e">
        <f t="shared" ref="E189:E203" si="8">SUM(F189:H189)</f>
        <v>#REF!</v>
      </c>
      <c r="F189" s="154">
        <f>+F190-F191</f>
        <v>0</v>
      </c>
      <c r="G189" s="154">
        <f>+G190-G191</f>
        <v>0</v>
      </c>
      <c r="H189" s="199" t="e">
        <f>+H190-H191</f>
        <v>#REF!</v>
      </c>
      <c r="I189" s="194">
        <f>+G189-[2]BS!$F$11</f>
        <v>-106555897.00999995</v>
      </c>
    </row>
    <row r="190" spans="1:9" s="172" customFormat="1" ht="15.75" hidden="1" customHeight="1">
      <c r="A190" s="162"/>
      <c r="B190" s="162"/>
      <c r="C190" s="162"/>
      <c r="D190" s="145" t="s">
        <v>2102</v>
      </c>
      <c r="E190" s="148" t="e">
        <f t="shared" si="8"/>
        <v>#REF!</v>
      </c>
      <c r="F190" s="154">
        <f>TB!G135</f>
        <v>0</v>
      </c>
      <c r="G190" s="154">
        <f>[2]TB!G135</f>
        <v>0</v>
      </c>
      <c r="H190" s="199" t="e">
        <f>[1]Sheet1!M134</f>
        <v>#REF!</v>
      </c>
      <c r="I190" s="194">
        <f>+G190-[2]BS!$F$11</f>
        <v>-106555897.00999995</v>
      </c>
    </row>
    <row r="191" spans="1:9" s="172" customFormat="1" ht="15.75" hidden="1" customHeight="1">
      <c r="A191" s="162"/>
      <c r="B191" s="162"/>
      <c r="C191" s="162"/>
      <c r="D191" s="145" t="s">
        <v>2104</v>
      </c>
      <c r="E191" s="148" t="e">
        <f t="shared" si="8"/>
        <v>#REF!</v>
      </c>
      <c r="F191" s="154">
        <f>TB!J136</f>
        <v>0</v>
      </c>
      <c r="G191" s="154">
        <f>[2]TB!J136</f>
        <v>0</v>
      </c>
      <c r="H191" s="202" t="e">
        <f>[1]Sheet1!N135</f>
        <v>#REF!</v>
      </c>
      <c r="I191" s="194">
        <f>+G191-[2]BS!$F$11</f>
        <v>-106555897.00999995</v>
      </c>
    </row>
    <row r="192" spans="1:9" s="172" customFormat="1" ht="15.75" hidden="1" customHeight="1">
      <c r="A192" s="162"/>
      <c r="B192" s="162"/>
      <c r="C192" s="145" t="s">
        <v>2263</v>
      </c>
      <c r="D192" s="162"/>
      <c r="E192" s="148" t="e">
        <f t="shared" si="8"/>
        <v>#REF!</v>
      </c>
      <c r="F192" s="154">
        <f>+F193-F194</f>
        <v>0</v>
      </c>
      <c r="G192" s="154">
        <f>+G193-G194</f>
        <v>0</v>
      </c>
      <c r="H192" s="199" t="e">
        <f>+H193-H194</f>
        <v>#REF!</v>
      </c>
      <c r="I192" s="194">
        <f>+G192-[2]BS!$F$11</f>
        <v>-106555897.00999995</v>
      </c>
    </row>
    <row r="193" spans="1:9" s="172" customFormat="1" ht="15.75" hidden="1" customHeight="1">
      <c r="A193" s="162"/>
      <c r="B193" s="162"/>
      <c r="C193" s="162"/>
      <c r="D193" s="145" t="s">
        <v>2106</v>
      </c>
      <c r="E193" s="148" t="e">
        <f t="shared" si="8"/>
        <v>#REF!</v>
      </c>
      <c r="F193" s="154">
        <f>TB!G137</f>
        <v>0</v>
      </c>
      <c r="G193" s="154">
        <f>[2]TB!G137</f>
        <v>0</v>
      </c>
      <c r="H193" s="199" t="e">
        <f>[1]Sheet1!M136</f>
        <v>#REF!</v>
      </c>
      <c r="I193" s="194">
        <f>+G193-[2]BS!$F$11</f>
        <v>-106555897.00999995</v>
      </c>
    </row>
    <row r="194" spans="1:9" s="172" customFormat="1" ht="15.75" hidden="1" customHeight="1">
      <c r="A194" s="162"/>
      <c r="B194" s="162"/>
      <c r="C194" s="162"/>
      <c r="D194" s="145" t="s">
        <v>2108</v>
      </c>
      <c r="E194" s="148" t="e">
        <f t="shared" si="8"/>
        <v>#REF!</v>
      </c>
      <c r="F194" s="154">
        <f>TB!J138</f>
        <v>0</v>
      </c>
      <c r="G194" s="154">
        <f>[2]TB!J138</f>
        <v>0</v>
      </c>
      <c r="H194" s="202" t="e">
        <f>[1]Sheet1!N137</f>
        <v>#REF!</v>
      </c>
      <c r="I194" s="194">
        <f>+G194-[2]BS!$F$11</f>
        <v>-106555897.00999995</v>
      </c>
    </row>
    <row r="195" spans="1:9" s="172" customFormat="1" ht="15.75" hidden="1" customHeight="1">
      <c r="A195" s="162"/>
      <c r="B195" s="162"/>
      <c r="C195" s="145" t="s">
        <v>586</v>
      </c>
      <c r="D195" s="162"/>
      <c r="E195" s="148" t="e">
        <f t="shared" si="8"/>
        <v>#REF!</v>
      </c>
      <c r="F195" s="154">
        <f>+F196-F197</f>
        <v>0</v>
      </c>
      <c r="G195" s="154">
        <f>+G196-G197</f>
        <v>0</v>
      </c>
      <c r="H195" s="199" t="e">
        <f>+H196-H197</f>
        <v>#REF!</v>
      </c>
      <c r="I195" s="194">
        <f>+G195-[2]BS!$F$11</f>
        <v>-106555897.00999995</v>
      </c>
    </row>
    <row r="196" spans="1:9" s="172" customFormat="1" ht="15.75" hidden="1" customHeight="1">
      <c r="A196" s="162"/>
      <c r="B196" s="162"/>
      <c r="C196" s="162"/>
      <c r="D196" s="145" t="s">
        <v>768</v>
      </c>
      <c r="E196" s="148" t="e">
        <f t="shared" si="8"/>
        <v>#REF!</v>
      </c>
      <c r="F196" s="154">
        <f>TB!G139</f>
        <v>0</v>
      </c>
      <c r="G196" s="154">
        <f>[2]TB!G139</f>
        <v>0</v>
      </c>
      <c r="H196" s="199" t="e">
        <f>[1]Sheet1!M138</f>
        <v>#REF!</v>
      </c>
      <c r="I196" s="194">
        <f>+G196-[2]BS!$F$11</f>
        <v>-106555897.00999995</v>
      </c>
    </row>
    <row r="197" spans="1:9" s="172" customFormat="1" ht="15.75" hidden="1" customHeight="1">
      <c r="A197" s="162"/>
      <c r="B197" s="162"/>
      <c r="C197" s="162"/>
      <c r="D197" s="145" t="s">
        <v>770</v>
      </c>
      <c r="E197" s="148" t="e">
        <f t="shared" si="8"/>
        <v>#REF!</v>
      </c>
      <c r="F197" s="154">
        <f>TB!J140</f>
        <v>0</v>
      </c>
      <c r="G197" s="154">
        <f>[2]TB!J140</f>
        <v>0</v>
      </c>
      <c r="H197" s="202" t="e">
        <f>[1]Sheet1!N139</f>
        <v>#REF!</v>
      </c>
      <c r="I197" s="194">
        <f>+G197-[2]BS!$F$11</f>
        <v>-106555897.00999995</v>
      </c>
    </row>
    <row r="198" spans="1:9" s="172" customFormat="1" ht="15.75" hidden="1" customHeight="1">
      <c r="A198" s="162"/>
      <c r="B198" s="162"/>
      <c r="C198" s="145" t="s">
        <v>587</v>
      </c>
      <c r="D198" s="162"/>
      <c r="E198" s="148" t="e">
        <f t="shared" si="8"/>
        <v>#REF!</v>
      </c>
      <c r="F198" s="154">
        <f>+F199-F200</f>
        <v>0</v>
      </c>
      <c r="G198" s="154">
        <f>+G199-G200</f>
        <v>0</v>
      </c>
      <c r="H198" s="199" t="e">
        <f>+H199-H200</f>
        <v>#REF!</v>
      </c>
      <c r="I198" s="194">
        <f>+G198-[2]BS!$F$11</f>
        <v>-106555897.00999995</v>
      </c>
    </row>
    <row r="199" spans="1:9" s="172" customFormat="1" ht="15" hidden="1" customHeight="1">
      <c r="A199" s="162"/>
      <c r="B199" s="162"/>
      <c r="C199" s="162"/>
      <c r="D199" s="145" t="s">
        <v>772</v>
      </c>
      <c r="E199" s="148" t="e">
        <f t="shared" si="8"/>
        <v>#REF!</v>
      </c>
      <c r="F199" s="154">
        <f>TB!G141</f>
        <v>0</v>
      </c>
      <c r="G199" s="154">
        <f>[2]TB!G141</f>
        <v>0</v>
      </c>
      <c r="H199" s="199" t="e">
        <f>[1]Sheet1!M140</f>
        <v>#REF!</v>
      </c>
      <c r="I199" s="194">
        <f>+G199-[2]BS!$F$11</f>
        <v>-106555897.00999995</v>
      </c>
    </row>
    <row r="200" spans="1:9" s="172" customFormat="1" ht="15.75" hidden="1" customHeight="1">
      <c r="A200" s="162"/>
      <c r="B200" s="162"/>
      <c r="C200" s="162"/>
      <c r="D200" s="145" t="s">
        <v>774</v>
      </c>
      <c r="E200" s="148" t="e">
        <f t="shared" si="8"/>
        <v>#REF!</v>
      </c>
      <c r="F200" s="154">
        <f>TB!J142</f>
        <v>0</v>
      </c>
      <c r="G200" s="154">
        <f>[2]TB!J142</f>
        <v>0</v>
      </c>
      <c r="H200" s="202" t="e">
        <f>[1]Sheet1!N141</f>
        <v>#REF!</v>
      </c>
      <c r="I200" s="194">
        <f>+G200-[2]BS!$F$11</f>
        <v>-106555897.00999995</v>
      </c>
    </row>
    <row r="201" spans="1:9" s="172" customFormat="1" ht="15.75" hidden="1" customHeight="1">
      <c r="A201" s="162"/>
      <c r="B201" s="162"/>
      <c r="C201" s="145" t="s">
        <v>588</v>
      </c>
      <c r="D201" s="162"/>
      <c r="E201" s="148" t="e">
        <f t="shared" si="8"/>
        <v>#REF!</v>
      </c>
      <c r="F201" s="154">
        <f>+F202-F203</f>
        <v>0</v>
      </c>
      <c r="G201" s="154">
        <f>+G202-G203</f>
        <v>0</v>
      </c>
      <c r="H201" s="199" t="e">
        <f>+H202-H203</f>
        <v>#REF!</v>
      </c>
      <c r="I201" s="194">
        <f>+G201-[2]BS!$F$11</f>
        <v>-106555897.00999995</v>
      </c>
    </row>
    <row r="202" spans="1:9" s="172" customFormat="1" ht="15.75" hidden="1" customHeight="1">
      <c r="A202" s="162"/>
      <c r="B202" s="162"/>
      <c r="C202" s="162"/>
      <c r="D202" s="145" t="s">
        <v>776</v>
      </c>
      <c r="E202" s="148" t="e">
        <f t="shared" si="8"/>
        <v>#REF!</v>
      </c>
      <c r="F202" s="154">
        <f>TB!G143</f>
        <v>0</v>
      </c>
      <c r="G202" s="154">
        <f>[2]TB!G143</f>
        <v>0</v>
      </c>
      <c r="H202" s="199" t="e">
        <f>[1]Sheet1!M142</f>
        <v>#REF!</v>
      </c>
      <c r="I202" s="194">
        <f>+G202-[2]BS!$F$11</f>
        <v>-106555897.00999995</v>
      </c>
    </row>
    <row r="203" spans="1:9" s="172" customFormat="1" ht="15.75" hidden="1" customHeight="1">
      <c r="A203" s="162"/>
      <c r="B203" s="162"/>
      <c r="C203" s="162"/>
      <c r="D203" s="145" t="s">
        <v>1523</v>
      </c>
      <c r="E203" s="148" t="e">
        <f t="shared" si="8"/>
        <v>#REF!</v>
      </c>
      <c r="F203" s="154">
        <f>TB!J144</f>
        <v>0</v>
      </c>
      <c r="G203" s="154">
        <f>[2]TB!J144</f>
        <v>0</v>
      </c>
      <c r="H203" s="202" t="e">
        <f>[1]Sheet1!N143</f>
        <v>#REF!</v>
      </c>
      <c r="I203" s="194">
        <f>+G203-[2]BS!$F$11</f>
        <v>-106555897.00999995</v>
      </c>
    </row>
    <row r="204" spans="1:9" s="194" customFormat="1" ht="15.75" hidden="1" customHeight="1">
      <c r="A204" s="178"/>
      <c r="B204" s="178" t="s">
        <v>589</v>
      </c>
      <c r="C204" s="178"/>
      <c r="D204" s="200"/>
      <c r="E204" s="195" t="e">
        <f>+E206-E207</f>
        <v>#REF!</v>
      </c>
      <c r="F204" s="196">
        <f>+F205</f>
        <v>0</v>
      </c>
      <c r="G204" s="196">
        <f>+G205</f>
        <v>0</v>
      </c>
      <c r="H204" s="198" t="e">
        <f>+H205</f>
        <v>#REF!</v>
      </c>
      <c r="I204" s="194">
        <f>+G204-[2]BS!$F$11</f>
        <v>-106555897.00999995</v>
      </c>
    </row>
    <row r="205" spans="1:9" s="172" customFormat="1" ht="15.75" hidden="1" customHeight="1">
      <c r="A205" s="162"/>
      <c r="B205" s="162"/>
      <c r="C205" s="145" t="s">
        <v>590</v>
      </c>
      <c r="D205" s="162"/>
      <c r="E205" s="148" t="e">
        <f>SUM(F205:H205)</f>
        <v>#REF!</v>
      </c>
      <c r="F205" s="154">
        <f>+F206-F207</f>
        <v>0</v>
      </c>
      <c r="G205" s="154">
        <f>+G206-G207</f>
        <v>0</v>
      </c>
      <c r="H205" s="199" t="e">
        <f>+H206-H207</f>
        <v>#REF!</v>
      </c>
      <c r="I205" s="194">
        <f>+G205-[2]BS!$F$11</f>
        <v>-106555897.00999995</v>
      </c>
    </row>
    <row r="206" spans="1:9" s="172" customFormat="1" ht="15.75" hidden="1" customHeight="1">
      <c r="A206" s="162"/>
      <c r="B206" s="162"/>
      <c r="C206" s="162"/>
      <c r="D206" s="145" t="s">
        <v>1525</v>
      </c>
      <c r="E206" s="148" t="e">
        <f>SUM(F206:H206)</f>
        <v>#REF!</v>
      </c>
      <c r="F206" s="154">
        <f>TB!G145</f>
        <v>0</v>
      </c>
      <c r="G206" s="154">
        <f>[2]TB!G145</f>
        <v>0</v>
      </c>
      <c r="H206" s="199" t="e">
        <f>[1]Sheet1!M144</f>
        <v>#REF!</v>
      </c>
      <c r="I206" s="194">
        <f>+G206-[2]BS!$F$11</f>
        <v>-106555897.00999995</v>
      </c>
    </row>
    <row r="207" spans="1:9" s="172" customFormat="1" ht="15.75" hidden="1" customHeight="1">
      <c r="A207" s="162"/>
      <c r="B207" s="162"/>
      <c r="C207" s="162"/>
      <c r="D207" s="145" t="s">
        <v>1527</v>
      </c>
      <c r="E207" s="148" t="e">
        <f>SUM(F207:H207)</f>
        <v>#REF!</v>
      </c>
      <c r="F207" s="154">
        <f>TB!J146</f>
        <v>0</v>
      </c>
      <c r="G207" s="154">
        <f>[2]TB!J146</f>
        <v>0</v>
      </c>
      <c r="H207" s="202" t="e">
        <f>[1]Sheet1!N145</f>
        <v>#REF!</v>
      </c>
      <c r="I207" s="194">
        <f>+G207-[2]BS!$F$11</f>
        <v>-106555897.00999995</v>
      </c>
    </row>
    <row r="208" spans="1:9" s="172" customFormat="1" ht="15.75" hidden="1" customHeight="1">
      <c r="A208" s="162"/>
      <c r="B208" s="178" t="s">
        <v>591</v>
      </c>
      <c r="C208" s="162"/>
      <c r="D208" s="145"/>
      <c r="E208" s="195" t="e">
        <f>E209</f>
        <v>#REF!</v>
      </c>
      <c r="F208" s="196">
        <f>+F209+F210</f>
        <v>0</v>
      </c>
      <c r="G208" s="196">
        <f>+G209+G210</f>
        <v>0</v>
      </c>
      <c r="H208" s="208" t="e">
        <f>H209</f>
        <v>#REF!</v>
      </c>
      <c r="I208" s="194">
        <f>+G208-[2]BS!$F$11</f>
        <v>-106555897.00999995</v>
      </c>
    </row>
    <row r="209" spans="1:9" s="172" customFormat="1" ht="15.75" hidden="1" customHeight="1">
      <c r="A209" s="162"/>
      <c r="B209" s="162"/>
      <c r="C209" s="162" t="s">
        <v>592</v>
      </c>
      <c r="D209" s="145"/>
      <c r="E209" s="204" t="e">
        <f>SUM(F209:H209)</f>
        <v>#REF!</v>
      </c>
      <c r="F209" s="154">
        <f>TB!G147</f>
        <v>0</v>
      </c>
      <c r="G209" s="154">
        <f>[2]TB!G147</f>
        <v>0</v>
      </c>
      <c r="H209" s="209" t="e">
        <f>SUM([1]Sheet1!M146:M153)</f>
        <v>#REF!</v>
      </c>
      <c r="I209" s="194">
        <f>+G209-[2]BS!$F$11</f>
        <v>-106555897.00999995</v>
      </c>
    </row>
    <row r="210" spans="1:9" s="172" customFormat="1" ht="15.75" hidden="1" customHeight="1">
      <c r="A210" s="162"/>
      <c r="B210" s="162"/>
      <c r="C210" s="162" t="s">
        <v>593</v>
      </c>
      <c r="D210" s="145"/>
      <c r="E210" s="204"/>
      <c r="F210" s="154">
        <f>TB!G150</f>
        <v>0</v>
      </c>
      <c r="G210" s="154">
        <f>[2]TB!G150</f>
        <v>0</v>
      </c>
      <c r="H210" s="209"/>
      <c r="I210" s="194">
        <f>+G210-[2]BS!$F$11</f>
        <v>-106555897.00999995</v>
      </c>
    </row>
    <row r="211" spans="1:9" s="194" customFormat="1" ht="15.75" customHeight="1">
      <c r="A211" s="178"/>
      <c r="B211" s="178" t="s">
        <v>594</v>
      </c>
      <c r="C211" s="178"/>
      <c r="D211" s="200"/>
      <c r="E211" s="195" t="e">
        <f>+E212+E213</f>
        <v>#REF!</v>
      </c>
      <c r="F211" s="196">
        <f>+F212+F213</f>
        <v>0</v>
      </c>
      <c r="G211" s="196">
        <f>+G212+G213</f>
        <v>18735378.080000002</v>
      </c>
      <c r="H211" s="198" t="e">
        <f>+H212+H213</f>
        <v>#REF!</v>
      </c>
      <c r="I211" s="194">
        <f>+G211-[2]BS!$F$209</f>
        <v>0</v>
      </c>
    </row>
    <row r="212" spans="1:9" s="210" customFormat="1" ht="15.75" hidden="1" customHeight="1">
      <c r="A212" s="162"/>
      <c r="B212" s="162"/>
      <c r="C212" s="200" t="s">
        <v>210</v>
      </c>
      <c r="D212" s="162"/>
      <c r="E212" s="204" t="e">
        <f>SUM(F212:H212)</f>
        <v>#REF!</v>
      </c>
      <c r="F212" s="154">
        <f>TB!G157</f>
        <v>0</v>
      </c>
      <c r="G212" s="154">
        <f>[2]TB!G157</f>
        <v>0</v>
      </c>
      <c r="H212" s="206" t="e">
        <f>[1]Sheet1!M156</f>
        <v>#REF!</v>
      </c>
      <c r="I212" s="194">
        <f>+G212-[2]BS!$F$11</f>
        <v>-106555897.00999995</v>
      </c>
    </row>
    <row r="213" spans="1:9" s="172" customFormat="1" ht="15.75" customHeight="1">
      <c r="A213" s="162"/>
      <c r="B213" s="162"/>
      <c r="C213" s="200" t="s">
        <v>595</v>
      </c>
      <c r="D213" s="145"/>
      <c r="E213" s="204" t="e">
        <f>SUM(E214:E223)</f>
        <v>#REF!</v>
      </c>
      <c r="F213" s="205">
        <f>SUM(F214:F224)</f>
        <v>0</v>
      </c>
      <c r="G213" s="205">
        <f>SUM(G214:G224)</f>
        <v>18735378.080000002</v>
      </c>
      <c r="H213" s="206" t="e">
        <f>SUM(H214:H223)</f>
        <v>#REF!</v>
      </c>
      <c r="I213" s="194">
        <f>+G213-[2]BS!$F$211</f>
        <v>0</v>
      </c>
    </row>
    <row r="214" spans="1:9" s="172" customFormat="1" ht="15.75" customHeight="1">
      <c r="A214" s="162"/>
      <c r="B214" s="162"/>
      <c r="C214" s="162"/>
      <c r="D214" s="145" t="s">
        <v>212</v>
      </c>
      <c r="E214" s="148"/>
      <c r="F214" s="154">
        <f>TB!G158</f>
        <v>0</v>
      </c>
      <c r="G214" s="154">
        <f>[2]TB!G158</f>
        <v>735722.3</v>
      </c>
      <c r="H214" s="199"/>
      <c r="I214" s="194">
        <f>+G214-[2]BS!$F$212</f>
        <v>0</v>
      </c>
    </row>
    <row r="215" spans="1:9" s="172" customFormat="1" ht="15.75" hidden="1" customHeight="1">
      <c r="A215" s="162"/>
      <c r="B215" s="162"/>
      <c r="C215" s="162"/>
      <c r="D215" s="145" t="s">
        <v>214</v>
      </c>
      <c r="E215" s="148" t="e">
        <f t="shared" ref="E215:E223" si="9">SUM(F215:H215)</f>
        <v>#REF!</v>
      </c>
      <c r="F215" s="154">
        <f>TB!G159</f>
        <v>0</v>
      </c>
      <c r="G215" s="154">
        <f>[2]TB!G159</f>
        <v>0</v>
      </c>
      <c r="H215" s="199" t="e">
        <f>[1]Sheet1!M158</f>
        <v>#REF!</v>
      </c>
      <c r="I215" s="194">
        <f>+G215-[2]BS!$F$11</f>
        <v>-106555897.00999995</v>
      </c>
    </row>
    <row r="216" spans="1:9" s="172" customFormat="1" ht="15.75" hidden="1" customHeight="1">
      <c r="A216" s="162"/>
      <c r="B216" s="162"/>
      <c r="C216" s="162"/>
      <c r="D216" s="145" t="s">
        <v>216</v>
      </c>
      <c r="E216" s="148" t="e">
        <f t="shared" si="9"/>
        <v>#REF!</v>
      </c>
      <c r="F216" s="154">
        <f>TB!G160</f>
        <v>0</v>
      </c>
      <c r="G216" s="154">
        <f>[2]TB!G160</f>
        <v>0</v>
      </c>
      <c r="H216" s="199" t="e">
        <f>[1]Sheet1!M159</f>
        <v>#REF!</v>
      </c>
      <c r="I216" s="194">
        <f>+G216-[2]BS!$F$11</f>
        <v>-106555897.00999995</v>
      </c>
    </row>
    <row r="217" spans="1:9" s="172" customFormat="1" ht="24" hidden="1" customHeight="1">
      <c r="A217" s="162"/>
      <c r="B217" s="162"/>
      <c r="C217" s="162"/>
      <c r="D217" s="153" t="s">
        <v>218</v>
      </c>
      <c r="E217" s="148" t="e">
        <f t="shared" si="9"/>
        <v>#REF!</v>
      </c>
      <c r="F217" s="154">
        <f>TB!G161</f>
        <v>0</v>
      </c>
      <c r="G217" s="154">
        <f>[2]TB!G161</f>
        <v>0</v>
      </c>
      <c r="H217" s="199" t="e">
        <f>[1]Sheet1!M160</f>
        <v>#REF!</v>
      </c>
      <c r="I217" s="194">
        <f>+G217-[2]BS!$F$11</f>
        <v>-106555897.00999995</v>
      </c>
    </row>
    <row r="218" spans="1:9" s="172" customFormat="1" ht="15.75" hidden="1" customHeight="1">
      <c r="A218" s="162"/>
      <c r="B218" s="162"/>
      <c r="C218" s="162"/>
      <c r="D218" s="145" t="s">
        <v>1614</v>
      </c>
      <c r="E218" s="148" t="e">
        <f t="shared" si="9"/>
        <v>#REF!</v>
      </c>
      <c r="F218" s="154">
        <f>TB!G162</f>
        <v>0</v>
      </c>
      <c r="G218" s="154">
        <f>[2]TB!G162</f>
        <v>0</v>
      </c>
      <c r="H218" s="199" t="e">
        <f>[1]Sheet1!M161</f>
        <v>#REF!</v>
      </c>
      <c r="I218" s="194">
        <f>+G218-[2]BS!$F$11</f>
        <v>-106555897.00999995</v>
      </c>
    </row>
    <row r="219" spans="1:9" s="172" customFormat="1" ht="15.75" customHeight="1">
      <c r="A219" s="162"/>
      <c r="B219" s="162"/>
      <c r="C219" s="162"/>
      <c r="D219" s="145" t="s">
        <v>1616</v>
      </c>
      <c r="E219" s="148" t="e">
        <f t="shared" si="9"/>
        <v>#REF!</v>
      </c>
      <c r="F219" s="154">
        <f>TB!G163</f>
        <v>0</v>
      </c>
      <c r="G219" s="154">
        <f>[2]TB!G163</f>
        <v>17999655.780000001</v>
      </c>
      <c r="H219" s="199" t="e">
        <f>[1]Sheet1!M162</f>
        <v>#REF!</v>
      </c>
      <c r="I219" s="194">
        <f>+G219-[2]BS!$F$217</f>
        <v>0</v>
      </c>
    </row>
    <row r="220" spans="1:9" s="172" customFormat="1" ht="15" hidden="1" customHeight="1">
      <c r="A220" s="162"/>
      <c r="B220" s="162"/>
      <c r="C220" s="162"/>
      <c r="D220" s="153" t="s">
        <v>1618</v>
      </c>
      <c r="E220" s="148" t="e">
        <f t="shared" si="9"/>
        <v>#REF!</v>
      </c>
      <c r="F220" s="154">
        <f>TB!G164</f>
        <v>0</v>
      </c>
      <c r="G220" s="154">
        <f>[2]TB!G164</f>
        <v>0</v>
      </c>
      <c r="H220" s="199" t="e">
        <f>[1]Sheet1!M163</f>
        <v>#REF!</v>
      </c>
      <c r="I220" s="194">
        <f>+G220-[2]BS!$F$11</f>
        <v>-106555897.00999995</v>
      </c>
    </row>
    <row r="221" spans="1:9" s="172" customFormat="1" ht="15.75" hidden="1" customHeight="1">
      <c r="A221" s="162"/>
      <c r="B221" s="162"/>
      <c r="C221" s="162"/>
      <c r="D221" s="145" t="s">
        <v>1620</v>
      </c>
      <c r="E221" s="148" t="e">
        <f t="shared" si="9"/>
        <v>#REF!</v>
      </c>
      <c r="F221" s="154">
        <f>TB!G165</f>
        <v>0</v>
      </c>
      <c r="G221" s="154">
        <f>[2]TB!G165</f>
        <v>0</v>
      </c>
      <c r="H221" s="199" t="e">
        <f>[1]Sheet1!M164</f>
        <v>#REF!</v>
      </c>
      <c r="I221" s="194">
        <f>+G221-[2]BS!$F$11</f>
        <v>-106555897.00999995</v>
      </c>
    </row>
    <row r="222" spans="1:9" s="172" customFormat="1" ht="15.75" hidden="1" customHeight="1">
      <c r="A222" s="162"/>
      <c r="B222" s="162"/>
      <c r="C222" s="162"/>
      <c r="D222" s="145" t="s">
        <v>1622</v>
      </c>
      <c r="E222" s="148" t="e">
        <f t="shared" si="9"/>
        <v>#REF!</v>
      </c>
      <c r="F222" s="154">
        <f>TB!G166</f>
        <v>0</v>
      </c>
      <c r="G222" s="154">
        <f>[2]TB!G166</f>
        <v>0</v>
      </c>
      <c r="H222" s="199" t="e">
        <f>[1]Sheet1!M165</f>
        <v>#REF!</v>
      </c>
      <c r="I222" s="194">
        <f>+G222-[2]BS!$F$11</f>
        <v>-106555897.00999995</v>
      </c>
    </row>
    <row r="223" spans="1:9" s="172" customFormat="1" ht="15.75" hidden="1" customHeight="1">
      <c r="A223" s="162"/>
      <c r="B223" s="162"/>
      <c r="C223" s="162"/>
      <c r="D223" s="145" t="s">
        <v>1624</v>
      </c>
      <c r="E223" s="148" t="e">
        <f t="shared" si="9"/>
        <v>#REF!</v>
      </c>
      <c r="F223" s="154">
        <f>TB!G167</f>
        <v>0</v>
      </c>
      <c r="G223" s="154">
        <f>[2]TB!G167</f>
        <v>0</v>
      </c>
      <c r="H223" s="199" t="e">
        <f>[1]Sheet1!M166</f>
        <v>#REF!</v>
      </c>
      <c r="I223" s="194">
        <f>+G223-[2]BS!$F$11</f>
        <v>-106555897.00999995</v>
      </c>
    </row>
    <row r="224" spans="1:9" s="172" customFormat="1" ht="15.75" hidden="1" customHeight="1">
      <c r="A224" s="162"/>
      <c r="B224" s="162"/>
      <c r="C224" s="162"/>
      <c r="D224" s="145" t="s">
        <v>596</v>
      </c>
      <c r="E224" s="148"/>
      <c r="F224" s="154">
        <f>TB!G154</f>
        <v>0</v>
      </c>
      <c r="G224" s="154">
        <f>[2]TB!G154</f>
        <v>0</v>
      </c>
      <c r="H224" s="199"/>
      <c r="I224" s="194">
        <f>+G224-[2]BS!$F$11</f>
        <v>-106555897.00999995</v>
      </c>
    </row>
    <row r="225" spans="1:9" s="183" customFormat="1" ht="15.75" customHeight="1">
      <c r="A225" s="191"/>
      <c r="B225" s="191"/>
      <c r="C225" s="191"/>
      <c r="D225" s="211" t="s">
        <v>597</v>
      </c>
      <c r="E225" s="195" t="e">
        <f>+E98+E112+E128+E138+E151+E188+E204+E208+E211</f>
        <v>#REF!</v>
      </c>
      <c r="F225" s="196">
        <f>+F98+F112+F128+F138+F151+F188+F204+F208+F211</f>
        <v>62568</v>
      </c>
      <c r="G225" s="196">
        <f>+G98+G112+G128+G138+G151+G188+G204+G208+G211</f>
        <v>18735378.080000002</v>
      </c>
      <c r="H225" s="198" t="e">
        <f>+H98+H112+H128+H138+H151+H188+H204+H208+H211</f>
        <v>#REF!</v>
      </c>
      <c r="I225" s="194">
        <f>+G225-[2]BS!$F$223</f>
        <v>0</v>
      </c>
    </row>
    <row r="226" spans="1:9" s="194" customFormat="1" ht="15.75" hidden="1" customHeight="1">
      <c r="A226" s="178"/>
      <c r="B226" s="178" t="s">
        <v>598</v>
      </c>
      <c r="C226" s="178"/>
      <c r="D226" s="200"/>
      <c r="E226" s="195"/>
      <c r="F226" s="196"/>
      <c r="G226" s="196"/>
      <c r="H226" s="198"/>
      <c r="I226" s="194">
        <f>+G226-[2]BS!$F$11</f>
        <v>-106555897.00999995</v>
      </c>
    </row>
    <row r="227" spans="1:9" s="172" customFormat="1" ht="15.75" hidden="1" customHeight="1">
      <c r="A227" s="162"/>
      <c r="B227" s="162"/>
      <c r="C227" s="162"/>
      <c r="D227" s="145" t="s">
        <v>1626</v>
      </c>
      <c r="E227" s="148" t="e">
        <f>SUM(F227:H227)</f>
        <v>#REF!</v>
      </c>
      <c r="F227" s="154">
        <f>TB!G168</f>
        <v>0</v>
      </c>
      <c r="G227" s="154">
        <f>[2]TB!G168</f>
        <v>0</v>
      </c>
      <c r="H227" s="199" t="e">
        <f>[1]Sheet1!M167</f>
        <v>#REF!</v>
      </c>
      <c r="I227" s="194">
        <f>+G227-[2]BS!$F$11</f>
        <v>-106555897.00999995</v>
      </c>
    </row>
    <row r="228" spans="1:9" s="172" customFormat="1" ht="15.75" hidden="1" customHeight="1">
      <c r="A228" s="162"/>
      <c r="B228" s="162"/>
      <c r="C228" s="162"/>
      <c r="D228" s="145" t="s">
        <v>1628</v>
      </c>
      <c r="E228" s="148" t="e">
        <f>SUM(F228:H228)</f>
        <v>#REF!</v>
      </c>
      <c r="F228" s="154">
        <f>TB!G169</f>
        <v>0</v>
      </c>
      <c r="G228" s="154">
        <f>[2]TB!G169</f>
        <v>0</v>
      </c>
      <c r="H228" s="199" t="e">
        <f>[1]Sheet1!M168</f>
        <v>#REF!</v>
      </c>
      <c r="I228" s="194">
        <f>+G228-[2]BS!$F$11</f>
        <v>-106555897.00999995</v>
      </c>
    </row>
    <row r="229" spans="1:9" s="172" customFormat="1" ht="15.75" hidden="1" customHeight="1">
      <c r="A229" s="162"/>
      <c r="B229" s="162"/>
      <c r="C229" s="162"/>
      <c r="D229" s="145" t="s">
        <v>1630</v>
      </c>
      <c r="E229" s="148" t="e">
        <f>SUM(F229:H229)</f>
        <v>#REF!</v>
      </c>
      <c r="F229" s="154">
        <f>TB!G170</f>
        <v>0</v>
      </c>
      <c r="G229" s="154">
        <f>[2]TB!G170</f>
        <v>0</v>
      </c>
      <c r="H229" s="199" t="e">
        <f>[1]Sheet1!M169</f>
        <v>#REF!</v>
      </c>
      <c r="I229" s="194">
        <f>+G229-[2]BS!$F$11</f>
        <v>-106555897.00999995</v>
      </c>
    </row>
    <row r="230" spans="1:9" s="172" customFormat="1" ht="15.75" hidden="1" customHeight="1">
      <c r="A230" s="162"/>
      <c r="B230" s="162"/>
      <c r="C230" s="162"/>
      <c r="D230" s="145" t="s">
        <v>1632</v>
      </c>
      <c r="E230" s="148" t="e">
        <f>SUM(F230:H230)</f>
        <v>#REF!</v>
      </c>
      <c r="F230" s="154">
        <f>TB!G171</f>
        <v>0</v>
      </c>
      <c r="G230" s="154">
        <f>[2]TB!G171</f>
        <v>0</v>
      </c>
      <c r="H230" s="199" t="e">
        <f>[1]Sheet1!M170</f>
        <v>#REF!</v>
      </c>
      <c r="I230" s="194">
        <f>+G230-[2]BS!$F$11</f>
        <v>-106555897.00999995</v>
      </c>
    </row>
    <row r="231" spans="1:9" s="172" customFormat="1" ht="15.75" hidden="1" customHeight="1">
      <c r="A231" s="162"/>
      <c r="B231" s="162"/>
      <c r="C231" s="162"/>
      <c r="D231" s="145" t="s">
        <v>1634</v>
      </c>
      <c r="E231" s="148" t="e">
        <f>SUM(F231:H231)</f>
        <v>#REF!</v>
      </c>
      <c r="F231" s="154">
        <f>TB!G172</f>
        <v>0</v>
      </c>
      <c r="G231" s="154">
        <f>[2]TB!G172</f>
        <v>0</v>
      </c>
      <c r="H231" s="199" t="e">
        <f>[1]Sheet1!M171</f>
        <v>#REF!</v>
      </c>
      <c r="I231" s="194">
        <f>+G231-[2]BS!$F$11</f>
        <v>-106555897.00999995</v>
      </c>
    </row>
    <row r="232" spans="1:9" s="172" customFormat="1" ht="15.75" hidden="1" customHeight="1">
      <c r="A232" s="162"/>
      <c r="B232" s="162"/>
      <c r="C232" s="162"/>
      <c r="D232" s="211" t="s">
        <v>599</v>
      </c>
      <c r="E232" s="148" t="e">
        <f>SUM(E227:E231)</f>
        <v>#REF!</v>
      </c>
      <c r="F232" s="154">
        <f>SUM(F227:F231)</f>
        <v>0</v>
      </c>
      <c r="G232" s="154">
        <f>SUM(G227:G231)</f>
        <v>0</v>
      </c>
      <c r="H232" s="199" t="e">
        <f>SUM(H227:H231)</f>
        <v>#REF!</v>
      </c>
      <c r="I232" s="194">
        <f>+G232-[2]BS!$F$11</f>
        <v>-106555897.00999995</v>
      </c>
    </row>
    <row r="233" spans="1:9" s="215" customFormat="1" ht="15.75" customHeight="1">
      <c r="A233" s="162"/>
      <c r="B233" s="162"/>
      <c r="C233" s="162"/>
      <c r="D233" s="211" t="s">
        <v>600</v>
      </c>
      <c r="E233" s="163" t="e">
        <f>+E232+E225+E96+E87</f>
        <v>#REF!</v>
      </c>
      <c r="F233" s="212">
        <f>+F232+F225+F96+F87</f>
        <v>16622479.140000001</v>
      </c>
      <c r="G233" s="213">
        <f>+G232+G225+G96+G87</f>
        <v>160737342.31999993</v>
      </c>
      <c r="H233" s="214" t="e">
        <f>+H232+H225+H96+H87</f>
        <v>#REF!</v>
      </c>
      <c r="I233" s="194">
        <f>+G233-[2]BS!$F$231</f>
        <v>0</v>
      </c>
    </row>
    <row r="234" spans="1:9" s="215" customFormat="1" ht="15.75" customHeight="1">
      <c r="A234" s="162"/>
      <c r="B234" s="162"/>
      <c r="C234" s="162"/>
      <c r="D234" s="211"/>
      <c r="E234" s="163"/>
      <c r="F234" s="213"/>
      <c r="G234" s="213"/>
      <c r="H234" s="214"/>
      <c r="I234" s="194"/>
    </row>
    <row r="235" spans="1:9" s="194" customFormat="1" ht="15.75" customHeight="1">
      <c r="A235" s="178" t="s">
        <v>601</v>
      </c>
      <c r="B235" s="178"/>
      <c r="C235" s="178"/>
      <c r="D235" s="200"/>
      <c r="E235" s="191"/>
      <c r="F235" s="161"/>
      <c r="G235" s="161"/>
      <c r="H235" s="207"/>
    </row>
    <row r="236" spans="1:9" s="194" customFormat="1" ht="15.75" customHeight="1">
      <c r="A236" s="178"/>
      <c r="B236" s="178" t="s">
        <v>602</v>
      </c>
      <c r="C236" s="178"/>
      <c r="D236" s="200"/>
      <c r="E236" s="195"/>
      <c r="F236" s="196"/>
      <c r="G236" s="196"/>
      <c r="H236" s="198"/>
    </row>
    <row r="237" spans="1:9" s="194" customFormat="1" ht="15.75" customHeight="1">
      <c r="A237" s="178"/>
      <c r="B237" s="178"/>
      <c r="C237" s="178" t="s">
        <v>603</v>
      </c>
      <c r="D237" s="200"/>
      <c r="E237" s="195" t="e">
        <f>SUM(E238:E241)</f>
        <v>#REF!</v>
      </c>
      <c r="F237" s="196">
        <f>SUM(F238:F241)</f>
        <v>-985</v>
      </c>
      <c r="G237" s="196">
        <f>SUM(G238:G241)</f>
        <v>1455.9799999999998</v>
      </c>
      <c r="H237" s="198" t="e">
        <f>SUM(H238:H241)</f>
        <v>#REF!</v>
      </c>
      <c r="I237" s="194">
        <f>+G237-[2]BS!$F$235</f>
        <v>0</v>
      </c>
    </row>
    <row r="238" spans="1:9" s="172" customFormat="1" ht="15.75" hidden="1" customHeight="1">
      <c r="A238" s="162"/>
      <c r="B238" s="162"/>
      <c r="C238" s="162"/>
      <c r="D238" s="145" t="s">
        <v>1636</v>
      </c>
      <c r="E238" s="148" t="e">
        <f>SUM(F238:H238)</f>
        <v>#REF!</v>
      </c>
      <c r="F238" s="154">
        <f>TB!J173</f>
        <v>0</v>
      </c>
      <c r="G238" s="154">
        <f>[2]TB!J173</f>
        <v>0</v>
      </c>
      <c r="H238" s="199" t="e">
        <f>+[1]Sheet1!N172</f>
        <v>#REF!</v>
      </c>
      <c r="I238" s="194">
        <f>+G238-[2]BS!$F$11</f>
        <v>-106555897.00999995</v>
      </c>
    </row>
    <row r="239" spans="1:9" s="172" customFormat="1" ht="15.75" hidden="1" customHeight="1">
      <c r="A239" s="162"/>
      <c r="B239" s="162"/>
      <c r="C239" s="162"/>
      <c r="D239" s="145" t="s">
        <v>1638</v>
      </c>
      <c r="E239" s="148" t="e">
        <f>SUM(F239:H239)</f>
        <v>#REF!</v>
      </c>
      <c r="F239" s="154">
        <f>TB!J174</f>
        <v>0</v>
      </c>
      <c r="G239" s="154">
        <f>[2]TB!J174</f>
        <v>0</v>
      </c>
      <c r="H239" s="199" t="e">
        <f>[1]Sheet1!N173</f>
        <v>#REF!</v>
      </c>
      <c r="I239" s="194">
        <f>+G239-[2]BS!$F$11</f>
        <v>-106555897.00999995</v>
      </c>
    </row>
    <row r="240" spans="1:9" s="172" customFormat="1" ht="15.75" customHeight="1">
      <c r="A240" s="162"/>
      <c r="B240" s="162"/>
      <c r="C240" s="162"/>
      <c r="D240" s="145" t="s">
        <v>1640</v>
      </c>
      <c r="E240" s="148" t="e">
        <f>SUM(F240:H240)</f>
        <v>#REF!</v>
      </c>
      <c r="F240" s="154">
        <f>TB!J175</f>
        <v>-985</v>
      </c>
      <c r="G240" s="154">
        <f>[2]TB!J175</f>
        <v>1455.9799999999998</v>
      </c>
      <c r="H240" s="199" t="e">
        <f>[1]Sheet1!N174</f>
        <v>#REF!</v>
      </c>
      <c r="I240" s="194">
        <f>+G240-[2]BS!$F$238</f>
        <v>0</v>
      </c>
    </row>
    <row r="241" spans="1:9" s="172" customFormat="1" ht="15.75" hidden="1" customHeight="1">
      <c r="A241" s="162"/>
      <c r="B241" s="162"/>
      <c r="C241" s="162"/>
      <c r="D241" s="145" t="s">
        <v>1642</v>
      </c>
      <c r="E241" s="148" t="e">
        <f>SUM(F241:H241)</f>
        <v>#REF!</v>
      </c>
      <c r="F241" s="154">
        <f>TB!J176</f>
        <v>0</v>
      </c>
      <c r="G241" s="154">
        <f>[2]TB!J176</f>
        <v>0</v>
      </c>
      <c r="H241" s="199" t="e">
        <f>[1]Sheet1!N175</f>
        <v>#REF!</v>
      </c>
      <c r="I241" s="194">
        <f>+G241-[2]BS!$F$11</f>
        <v>-106555897.00999995</v>
      </c>
    </row>
    <row r="242" spans="1:9" s="194" customFormat="1" ht="15.75" customHeight="1">
      <c r="A242" s="178"/>
      <c r="B242" s="178"/>
      <c r="C242" s="178" t="s">
        <v>604</v>
      </c>
      <c r="D242" s="200"/>
      <c r="E242" s="195" t="e">
        <f>SUM(E243:E249)</f>
        <v>#REF!</v>
      </c>
      <c r="F242" s="196">
        <f>SUM(F243:F249)</f>
        <v>16143234.98</v>
      </c>
      <c r="G242" s="196">
        <f>SUM(G243:G249)</f>
        <v>106634943.58</v>
      </c>
      <c r="H242" s="198" t="e">
        <f>SUM(H243:H249)</f>
        <v>#REF!</v>
      </c>
      <c r="I242" s="194">
        <f>+G242-[2]BS!$F$240</f>
        <v>0</v>
      </c>
    </row>
    <row r="243" spans="1:9" s="172" customFormat="1" ht="15.75" customHeight="1">
      <c r="A243" s="162"/>
      <c r="B243" s="162"/>
      <c r="C243" s="162"/>
      <c r="D243" s="145" t="s">
        <v>1644</v>
      </c>
      <c r="E243" s="148" t="e">
        <f t="shared" ref="E243:E249" si="10">SUM(F243:H243)</f>
        <v>#REF!</v>
      </c>
      <c r="F243" s="154">
        <f>TB!J177</f>
        <v>-155.51000000000931</v>
      </c>
      <c r="G243" s="154">
        <f>[2]TB!J177</f>
        <v>1450676.1</v>
      </c>
      <c r="H243" s="199" t="e">
        <f>[1]Sheet1!N176</f>
        <v>#REF!</v>
      </c>
      <c r="I243" s="194">
        <f>+G243-[2]BS!$F$241</f>
        <v>0</v>
      </c>
    </row>
    <row r="244" spans="1:9" s="172" customFormat="1" ht="15.75" customHeight="1">
      <c r="A244" s="162"/>
      <c r="B244" s="162"/>
      <c r="C244" s="162"/>
      <c r="D244" s="145" t="s">
        <v>1646</v>
      </c>
      <c r="E244" s="148" t="e">
        <f t="shared" si="10"/>
        <v>#REF!</v>
      </c>
      <c r="F244" s="154">
        <f>TB!J178</f>
        <v>-6857.18</v>
      </c>
      <c r="G244" s="154">
        <f>[2]TB!J178</f>
        <v>133025.49000000002</v>
      </c>
      <c r="H244" s="199" t="e">
        <f>[1]Sheet1!N177</f>
        <v>#REF!</v>
      </c>
      <c r="I244" s="194">
        <f>+G244-[2]BS!$F$242</f>
        <v>0</v>
      </c>
    </row>
    <row r="245" spans="1:9" s="172" customFormat="1" ht="15.75" customHeight="1">
      <c r="A245" s="162"/>
      <c r="B245" s="162"/>
      <c r="C245" s="162"/>
      <c r="D245" s="145" t="s">
        <v>834</v>
      </c>
      <c r="E245" s="148" t="e">
        <f t="shared" si="10"/>
        <v>#REF!</v>
      </c>
      <c r="F245" s="154">
        <f>TB!J179</f>
        <v>-27150.819999999996</v>
      </c>
      <c r="G245" s="154">
        <f>[2]TB!J179</f>
        <v>203555.63999999996</v>
      </c>
      <c r="H245" s="199" t="e">
        <f>[1]Sheet1!N178</f>
        <v>#REF!</v>
      </c>
      <c r="I245" s="194">
        <f>+G245-[2]BS!$F$243</f>
        <v>0</v>
      </c>
    </row>
    <row r="246" spans="1:9" s="172" customFormat="1" ht="15.75" customHeight="1">
      <c r="A246" s="162"/>
      <c r="B246" s="162"/>
      <c r="C246" s="162"/>
      <c r="D246" s="145" t="s">
        <v>836</v>
      </c>
      <c r="E246" s="148" t="e">
        <f t="shared" si="10"/>
        <v>#REF!</v>
      </c>
      <c r="F246" s="154">
        <f>TB!J180</f>
        <v>-9450</v>
      </c>
      <c r="G246" s="154">
        <f>[2]TB!J180</f>
        <v>106059.26999999999</v>
      </c>
      <c r="H246" s="199" t="e">
        <f>[1]Sheet1!N179</f>
        <v>#REF!</v>
      </c>
      <c r="I246" s="194">
        <f>+G246-[2]BS!$F$244</f>
        <v>0</v>
      </c>
    </row>
    <row r="247" spans="1:9" s="172" customFormat="1" ht="15.75" customHeight="1">
      <c r="A247" s="162"/>
      <c r="B247" s="162"/>
      <c r="C247" s="162"/>
      <c r="D247" s="145" t="s">
        <v>838</v>
      </c>
      <c r="E247" s="148" t="e">
        <f t="shared" si="10"/>
        <v>#REF!</v>
      </c>
      <c r="F247" s="154">
        <f>TB!J181</f>
        <v>16186848.49</v>
      </c>
      <c r="G247" s="154">
        <f>[2]TB!J181</f>
        <v>100518261.20999999</v>
      </c>
      <c r="H247" s="199" t="e">
        <f>[1]Sheet1!N180</f>
        <v>#REF!</v>
      </c>
      <c r="I247" s="194">
        <f>+G247-[2]BS!$F$245</f>
        <v>0</v>
      </c>
    </row>
    <row r="248" spans="1:9" s="172" customFormat="1" ht="15.75" hidden="1" customHeight="1">
      <c r="A248" s="162"/>
      <c r="B248" s="162"/>
      <c r="C248" s="162"/>
      <c r="D248" s="145" t="s">
        <v>840</v>
      </c>
      <c r="E248" s="148" t="e">
        <f t="shared" si="10"/>
        <v>#REF!</v>
      </c>
      <c r="F248" s="154">
        <f>-TB!G182</f>
        <v>0</v>
      </c>
      <c r="G248" s="154">
        <f>-[2]TB!G182</f>
        <v>0</v>
      </c>
      <c r="H248" s="199" t="e">
        <f>[1]Sheet1!N181</f>
        <v>#REF!</v>
      </c>
      <c r="I248" s="194">
        <f>+G248-[2]BS!$F$11</f>
        <v>-106555897.00999995</v>
      </c>
    </row>
    <row r="249" spans="1:9" s="172" customFormat="1" ht="15.75" customHeight="1">
      <c r="A249" s="162"/>
      <c r="B249" s="162"/>
      <c r="C249" s="162"/>
      <c r="D249" s="145" t="s">
        <v>2354</v>
      </c>
      <c r="E249" s="148" t="e">
        <f t="shared" si="10"/>
        <v>#REF!</v>
      </c>
      <c r="F249" s="154">
        <f>TB!J183</f>
        <v>0</v>
      </c>
      <c r="G249" s="154">
        <f>[2]TB!J183</f>
        <v>4223365.87</v>
      </c>
      <c r="H249" s="199" t="e">
        <f>[1]Sheet1!N182</f>
        <v>#REF!</v>
      </c>
      <c r="I249" s="194">
        <f>+G249-[2]BS!$F$247</f>
        <v>0</v>
      </c>
    </row>
    <row r="250" spans="1:9" s="194" customFormat="1" ht="15.75" customHeight="1">
      <c r="A250" s="178"/>
      <c r="B250" s="178"/>
      <c r="C250" s="178" t="s">
        <v>605</v>
      </c>
      <c r="D250" s="200"/>
      <c r="E250" s="195" t="e">
        <f>SUM(E251:E251)</f>
        <v>#REF!</v>
      </c>
      <c r="F250" s="196">
        <f>SUM(F251:F251)</f>
        <v>629862.75</v>
      </c>
      <c r="G250" s="196">
        <f>SUM(G251:G251)</f>
        <v>6660296.0500000063</v>
      </c>
      <c r="H250" s="198" t="e">
        <f>SUM(H251:H251)</f>
        <v>#REF!</v>
      </c>
      <c r="I250" s="194">
        <f>+G250-[2]BS!$F$248</f>
        <v>0</v>
      </c>
    </row>
    <row r="251" spans="1:9" s="172" customFormat="1" ht="15.75" customHeight="1">
      <c r="A251" s="162"/>
      <c r="B251" s="162"/>
      <c r="C251" s="162"/>
      <c r="D251" s="145" t="s">
        <v>851</v>
      </c>
      <c r="E251" s="148" t="e">
        <f>SUM(F251:H251)</f>
        <v>#REF!</v>
      </c>
      <c r="F251" s="154">
        <f>+TB!J184</f>
        <v>629862.75</v>
      </c>
      <c r="G251" s="154">
        <f>+[2]TB!J184</f>
        <v>6660296.0500000063</v>
      </c>
      <c r="H251" s="199" t="e">
        <f>[1]Sheet1!N183</f>
        <v>#REF!</v>
      </c>
      <c r="I251" s="194">
        <f>+G251-[2]BS!$F$249</f>
        <v>0</v>
      </c>
    </row>
    <row r="252" spans="1:9" s="194" customFormat="1" ht="15.75" customHeight="1">
      <c r="A252" s="178"/>
      <c r="B252" s="178"/>
      <c r="C252" s="178" t="s">
        <v>606</v>
      </c>
      <c r="D252" s="200"/>
      <c r="E252" s="195" t="e">
        <f>SUM(E253:E257)</f>
        <v>#REF!</v>
      </c>
      <c r="F252" s="196">
        <f>SUM(F253:F257)</f>
        <v>-149633.59000000078</v>
      </c>
      <c r="G252" s="196">
        <f>SUM(G253:G257)</f>
        <v>47440646.710000001</v>
      </c>
      <c r="H252" s="198" t="e">
        <f>SUM(H253:H257)</f>
        <v>#REF!</v>
      </c>
      <c r="I252" s="194">
        <f>+G252-[2]BS!$F$250</f>
        <v>0</v>
      </c>
    </row>
    <row r="253" spans="1:9" s="172" customFormat="1" ht="15.75" customHeight="1">
      <c r="A253" s="162"/>
      <c r="B253" s="162"/>
      <c r="C253" s="162"/>
      <c r="D253" s="145" t="s">
        <v>853</v>
      </c>
      <c r="E253" s="148" t="e">
        <f>SUM(F253:H253)</f>
        <v>#REF!</v>
      </c>
      <c r="F253" s="154">
        <f>TB!J185</f>
        <v>0</v>
      </c>
      <c r="G253" s="154">
        <f>[2]TB!J185</f>
        <v>3096119.9400000004</v>
      </c>
      <c r="H253" s="199" t="e">
        <f>[1]Sheet1!N184</f>
        <v>#REF!</v>
      </c>
      <c r="I253" s="194">
        <f>+G253-[2]BS!$F$251</f>
        <v>0</v>
      </c>
    </row>
    <row r="254" spans="1:9" s="172" customFormat="1" ht="15.75" customHeight="1">
      <c r="A254" s="162"/>
      <c r="B254" s="162"/>
      <c r="C254" s="162"/>
      <c r="D254" s="145" t="s">
        <v>855</v>
      </c>
      <c r="E254" s="148" t="e">
        <f>SUM(F254:H254)</f>
        <v>#REF!</v>
      </c>
      <c r="F254" s="154">
        <f>TB!J186</f>
        <v>48500</v>
      </c>
      <c r="G254" s="154">
        <f>[2]TB!J186</f>
        <v>1410177.3399999999</v>
      </c>
      <c r="H254" s="199" t="e">
        <f>[1]Sheet1!N185</f>
        <v>#REF!</v>
      </c>
      <c r="I254" s="194">
        <f>+G254-[2]BS!$F$252</f>
        <v>0</v>
      </c>
    </row>
    <row r="255" spans="1:9" s="172" customFormat="1" ht="15.75" hidden="1" customHeight="1">
      <c r="A255" s="162"/>
      <c r="B255" s="162"/>
      <c r="C255" s="162"/>
      <c r="D255" s="145" t="s">
        <v>857</v>
      </c>
      <c r="E255" s="148" t="e">
        <f>SUM(F255:H255)</f>
        <v>#REF!</v>
      </c>
      <c r="F255" s="154">
        <f>TB!J187</f>
        <v>0</v>
      </c>
      <c r="G255" s="154">
        <f>[2]TB!J187</f>
        <v>0</v>
      </c>
      <c r="H255" s="199" t="e">
        <f>[1]Sheet1!N186</f>
        <v>#REF!</v>
      </c>
      <c r="I255" s="194">
        <f>+G255-[2]BS!$F$11</f>
        <v>-106555897.00999995</v>
      </c>
    </row>
    <row r="256" spans="1:9" s="172" customFormat="1" ht="15.75" hidden="1" customHeight="1">
      <c r="A256" s="162"/>
      <c r="B256" s="162"/>
      <c r="C256" s="162"/>
      <c r="D256" s="145" t="s">
        <v>859</v>
      </c>
      <c r="E256" s="148" t="e">
        <f>SUM(F256:H256)</f>
        <v>#REF!</v>
      </c>
      <c r="F256" s="154">
        <f>TB!J188</f>
        <v>0</v>
      </c>
      <c r="G256" s="154">
        <f>[2]TB!J188</f>
        <v>0</v>
      </c>
      <c r="H256" s="199" t="e">
        <f>[1]Sheet1!N187</f>
        <v>#REF!</v>
      </c>
      <c r="I256" s="194">
        <f>+G256-[2]BS!$F$11</f>
        <v>-106555897.00999995</v>
      </c>
    </row>
    <row r="257" spans="1:9" s="172" customFormat="1" ht="15.75" customHeight="1">
      <c r="A257" s="162"/>
      <c r="B257" s="162"/>
      <c r="C257" s="162"/>
      <c r="D257" s="145" t="s">
        <v>861</v>
      </c>
      <c r="E257" s="148" t="e">
        <f>SUM(F257:H257)</f>
        <v>#REF!</v>
      </c>
      <c r="F257" s="154">
        <f>TB!J189</f>
        <v>-198133.59000000078</v>
      </c>
      <c r="G257" s="154">
        <f>[2]TB!J189</f>
        <v>42934349.43</v>
      </c>
      <c r="H257" s="199" t="e">
        <f>[1]Sheet1!N188</f>
        <v>#REF!</v>
      </c>
      <c r="I257" s="194">
        <f>+G257-[2]BS!$F$255</f>
        <v>0</v>
      </c>
    </row>
    <row r="258" spans="1:9" s="217" customFormat="1" ht="15.75" customHeight="1">
      <c r="A258" s="216"/>
      <c r="B258" s="216"/>
      <c r="C258" s="216"/>
      <c r="D258" s="200" t="s">
        <v>607</v>
      </c>
      <c r="E258" s="195" t="e">
        <f>+E252+E250+E242+E237</f>
        <v>#REF!</v>
      </c>
      <c r="F258" s="196">
        <f>+F252+F250+F242+F237</f>
        <v>16622479.140000001</v>
      </c>
      <c r="G258" s="196">
        <f>+G252+G250+G242+G237</f>
        <v>160737342.31999999</v>
      </c>
      <c r="H258" s="198" t="e">
        <f>+H252+H250+H242+H237</f>
        <v>#REF!</v>
      </c>
      <c r="I258" s="194">
        <f>+G258-[2]BS!$F$256</f>
        <v>0</v>
      </c>
    </row>
    <row r="259" spans="1:9" s="194" customFormat="1" ht="15.75" hidden="1" customHeight="1">
      <c r="A259" s="178"/>
      <c r="B259" s="178" t="s">
        <v>608</v>
      </c>
      <c r="C259" s="178"/>
      <c r="D259" s="200"/>
      <c r="E259" s="195"/>
      <c r="F259" s="196"/>
      <c r="G259" s="196"/>
      <c r="H259" s="198"/>
      <c r="I259" s="194">
        <f>+G259-[2]BS!$F$11</f>
        <v>-106555897.00999995</v>
      </c>
    </row>
    <row r="260" spans="1:9" s="194" customFormat="1" ht="15.75" hidden="1" customHeight="1">
      <c r="A260" s="178"/>
      <c r="B260" s="178"/>
      <c r="C260" s="178" t="s">
        <v>609</v>
      </c>
      <c r="D260" s="200"/>
      <c r="E260" s="195"/>
      <c r="F260" s="196"/>
      <c r="G260" s="196"/>
      <c r="H260" s="198"/>
      <c r="I260" s="194">
        <f>+G260-[2]BS!$F$11</f>
        <v>-106555897.00999995</v>
      </c>
    </row>
    <row r="261" spans="1:9" s="172" customFormat="1" ht="15.75" hidden="1" customHeight="1">
      <c r="A261" s="162"/>
      <c r="B261" s="162"/>
      <c r="C261" s="162"/>
      <c r="D261" s="145" t="s">
        <v>863</v>
      </c>
      <c r="E261" s="148" t="e">
        <f t="shared" ref="E261:E266" si="11">SUM(F261:H261)</f>
        <v>#REF!</v>
      </c>
      <c r="F261" s="154">
        <f>TB!J190</f>
        <v>0</v>
      </c>
      <c r="G261" s="154">
        <f>[2]TB!J190</f>
        <v>0</v>
      </c>
      <c r="H261" s="199" t="e">
        <f>[1]Sheet1!N189</f>
        <v>#REF!</v>
      </c>
      <c r="I261" s="194">
        <f>+G261-[2]BS!$F$11</f>
        <v>-106555897.00999995</v>
      </c>
    </row>
    <row r="262" spans="1:9" s="172" customFormat="1" ht="15.75" hidden="1" customHeight="1">
      <c r="A262" s="162"/>
      <c r="B262" s="162"/>
      <c r="C262" s="162"/>
      <c r="D262" s="145" t="s">
        <v>865</v>
      </c>
      <c r="E262" s="148" t="e">
        <f t="shared" si="11"/>
        <v>#REF!</v>
      </c>
      <c r="F262" s="154">
        <f>TB!J191</f>
        <v>0</v>
      </c>
      <c r="G262" s="154">
        <f>[2]TB!J191</f>
        <v>0</v>
      </c>
      <c r="H262" s="199" t="e">
        <f>[1]Sheet1!N190</f>
        <v>#REF!</v>
      </c>
      <c r="I262" s="194">
        <f>+G262-[2]BS!$F$11</f>
        <v>-106555897.00999995</v>
      </c>
    </row>
    <row r="263" spans="1:9" s="172" customFormat="1" ht="15.75" hidden="1" customHeight="1">
      <c r="A263" s="162"/>
      <c r="B263" s="162"/>
      <c r="C263" s="162"/>
      <c r="D263" s="145" t="s">
        <v>867</v>
      </c>
      <c r="E263" s="148" t="e">
        <f t="shared" si="11"/>
        <v>#REF!</v>
      </c>
      <c r="F263" s="154">
        <f>TB!J192</f>
        <v>0</v>
      </c>
      <c r="G263" s="154">
        <f>[2]TB!J192</f>
        <v>0</v>
      </c>
      <c r="H263" s="199" t="e">
        <f>[1]Sheet1!N191</f>
        <v>#REF!</v>
      </c>
      <c r="I263" s="194">
        <f>+G263-[2]BS!$F$11</f>
        <v>-106555897.00999995</v>
      </c>
    </row>
    <row r="264" spans="1:9" s="172" customFormat="1" ht="15.75" hidden="1" customHeight="1">
      <c r="A264" s="162"/>
      <c r="B264" s="162"/>
      <c r="C264" s="162"/>
      <c r="D264" s="145" t="s">
        <v>869</v>
      </c>
      <c r="E264" s="148" t="e">
        <f t="shared" si="11"/>
        <v>#REF!</v>
      </c>
      <c r="F264" s="154">
        <f>TB!J193</f>
        <v>0</v>
      </c>
      <c r="G264" s="154">
        <f>[2]TB!J193</f>
        <v>0</v>
      </c>
      <c r="H264" s="199" t="e">
        <f>[1]Sheet1!N192</f>
        <v>#REF!</v>
      </c>
      <c r="I264" s="194">
        <f>+G264-[2]BS!$F$11</f>
        <v>-106555897.00999995</v>
      </c>
    </row>
    <row r="265" spans="1:9" s="172" customFormat="1" ht="15.75" hidden="1" customHeight="1">
      <c r="A265" s="162"/>
      <c r="B265" s="162"/>
      <c r="C265" s="162"/>
      <c r="D265" s="145" t="s">
        <v>871</v>
      </c>
      <c r="E265" s="148" t="e">
        <f t="shared" si="11"/>
        <v>#REF!</v>
      </c>
      <c r="F265" s="154">
        <f>TB!J194</f>
        <v>0</v>
      </c>
      <c r="G265" s="154">
        <f>[2]TB!J194</f>
        <v>0</v>
      </c>
      <c r="H265" s="199" t="e">
        <f>[1]Sheet1!N193</f>
        <v>#REF!</v>
      </c>
      <c r="I265" s="194">
        <f>+G265-[2]BS!$F$11</f>
        <v>-106555897.00999995</v>
      </c>
    </row>
    <row r="266" spans="1:9" s="172" customFormat="1" ht="15.75" hidden="1" customHeight="1">
      <c r="A266" s="162"/>
      <c r="B266" s="162"/>
      <c r="C266" s="162"/>
      <c r="D266" s="145" t="s">
        <v>873</v>
      </c>
      <c r="E266" s="148" t="e">
        <f t="shared" si="11"/>
        <v>#REF!</v>
      </c>
      <c r="F266" s="154">
        <f>TB!J195</f>
        <v>0</v>
      </c>
      <c r="G266" s="154">
        <f>[2]TB!J195</f>
        <v>0</v>
      </c>
      <c r="H266" s="199" t="e">
        <f>[1]Sheet1!N194</f>
        <v>#REF!</v>
      </c>
      <c r="I266" s="194">
        <f>+G266-[2]BS!$F$11</f>
        <v>-106555897.00999995</v>
      </c>
    </row>
    <row r="267" spans="1:9" s="217" customFormat="1" ht="15.75" hidden="1" customHeight="1">
      <c r="A267" s="178"/>
      <c r="B267" s="178"/>
      <c r="C267" s="178"/>
      <c r="D267" s="200" t="s">
        <v>610</v>
      </c>
      <c r="E267" s="195" t="e">
        <f>SUM(E261:E266)</f>
        <v>#REF!</v>
      </c>
      <c r="F267" s="196">
        <f>SUM(F261:F266)</f>
        <v>0</v>
      </c>
      <c r="G267" s="196">
        <f>SUM(G261:G266)</f>
        <v>0</v>
      </c>
      <c r="H267" s="198" t="e">
        <f>SUM(H261:H266)</f>
        <v>#REF!</v>
      </c>
      <c r="I267" s="194">
        <f>+G267-[2]BS!$F$11</f>
        <v>-106555897.00999995</v>
      </c>
    </row>
    <row r="268" spans="1:9" s="217" customFormat="1" ht="15.75" customHeight="1">
      <c r="A268" s="178"/>
      <c r="B268" s="178"/>
      <c r="C268" s="178"/>
      <c r="D268" s="200" t="s">
        <v>611</v>
      </c>
      <c r="E268" s="195" t="e">
        <f>+E267+E258</f>
        <v>#REF!</v>
      </c>
      <c r="F268" s="196">
        <f>+F267+F258</f>
        <v>16622479.140000001</v>
      </c>
      <c r="G268" s="196">
        <f>+G267+G258</f>
        <v>160737342.31999999</v>
      </c>
      <c r="H268" s="198" t="e">
        <f>+H267+H258</f>
        <v>#REF!</v>
      </c>
      <c r="I268" s="194">
        <f>+G268-[2]BS!$F$266</f>
        <v>0</v>
      </c>
    </row>
    <row r="269" spans="1:9" s="194" customFormat="1" ht="15.75" hidden="1" customHeight="1">
      <c r="A269" s="178"/>
      <c r="B269" s="178" t="s">
        <v>612</v>
      </c>
      <c r="C269" s="178"/>
      <c r="D269" s="200"/>
      <c r="E269" s="195"/>
      <c r="F269" s="196"/>
      <c r="G269" s="196"/>
      <c r="H269" s="198"/>
      <c r="I269" s="194">
        <f>+G269-[2]BS!$F$11</f>
        <v>-106555897.00999995</v>
      </c>
    </row>
    <row r="270" spans="1:9" s="172" customFormat="1" ht="15.75" hidden="1" customHeight="1">
      <c r="A270" s="162"/>
      <c r="B270" s="162"/>
      <c r="C270" s="162"/>
      <c r="D270" s="145" t="s">
        <v>1540</v>
      </c>
      <c r="E270" s="148" t="e">
        <f>SUM(F270:H270)</f>
        <v>#REF!</v>
      </c>
      <c r="F270" s="154">
        <f>TB!J196</f>
        <v>0</v>
      </c>
      <c r="G270" s="154">
        <f>[2]TB!J196</f>
        <v>0</v>
      </c>
      <c r="H270" s="199" t="e">
        <f>[1]Sheet1!N195</f>
        <v>#REF!</v>
      </c>
      <c r="I270" s="194">
        <f>+G270-[2]BS!$F$11</f>
        <v>-106555897.00999995</v>
      </c>
    </row>
    <row r="271" spans="1:9" s="172" customFormat="1" ht="15.75" hidden="1" customHeight="1">
      <c r="A271" s="162"/>
      <c r="B271" s="162"/>
      <c r="C271" s="162"/>
      <c r="D271" s="145" t="s">
        <v>1542</v>
      </c>
      <c r="E271" s="148" t="e">
        <f>SUM(F271:H271)</f>
        <v>#REF!</v>
      </c>
      <c r="F271" s="154">
        <f>TB!J197</f>
        <v>0</v>
      </c>
      <c r="G271" s="154">
        <f>[2]TB!J197</f>
        <v>0</v>
      </c>
      <c r="H271" s="199" t="e">
        <f>[1]Sheet1!N196</f>
        <v>#REF!</v>
      </c>
      <c r="I271" s="194">
        <f>+G271-[2]BS!$F$11</f>
        <v>-106555897.00999995</v>
      </c>
    </row>
    <row r="272" spans="1:9" s="172" customFormat="1" ht="15.75" hidden="1" customHeight="1">
      <c r="A272" s="162"/>
      <c r="B272" s="162"/>
      <c r="C272" s="162"/>
      <c r="D272" s="145" t="s">
        <v>1544</v>
      </c>
      <c r="E272" s="148" t="e">
        <f>SUM(F272:H272)</f>
        <v>#REF!</v>
      </c>
      <c r="F272" s="154">
        <f>TB!J198</f>
        <v>0</v>
      </c>
      <c r="G272" s="154">
        <f>[2]TB!J198</f>
        <v>0</v>
      </c>
      <c r="H272" s="199" t="e">
        <f>[1]Sheet1!N197</f>
        <v>#REF!</v>
      </c>
      <c r="I272" s="194">
        <f>+G272-[2]BS!$F$11</f>
        <v>-106555897.00999995</v>
      </c>
    </row>
    <row r="273" spans="1:9" s="217" customFormat="1" ht="15.75" hidden="1" customHeight="1">
      <c r="A273" s="178"/>
      <c r="B273" s="178"/>
      <c r="C273" s="178"/>
      <c r="D273" s="200" t="s">
        <v>613</v>
      </c>
      <c r="E273" s="195" t="e">
        <f>SUM(E270:E272)</f>
        <v>#REF!</v>
      </c>
      <c r="F273" s="196">
        <f>SUM(F270:F272)</f>
        <v>0</v>
      </c>
      <c r="G273" s="196">
        <f>SUM(G270:G272)</f>
        <v>0</v>
      </c>
      <c r="H273" s="198" t="e">
        <f>SUM(H270:H272)</f>
        <v>#REF!</v>
      </c>
      <c r="I273" s="194">
        <f>+G273-[2]BS!$F$11</f>
        <v>-106555897.00999995</v>
      </c>
    </row>
    <row r="274" spans="1:9" s="217" customFormat="1" ht="15.75" hidden="1" customHeight="1">
      <c r="A274" s="178"/>
      <c r="B274" s="178"/>
      <c r="C274" s="178"/>
      <c r="D274" s="200"/>
      <c r="E274" s="195"/>
      <c r="F274" s="196"/>
      <c r="G274" s="196"/>
      <c r="H274" s="198"/>
      <c r="I274" s="194">
        <f>+G274-[2]BS!$F$11</f>
        <v>-106555897.00999995</v>
      </c>
    </row>
    <row r="275" spans="1:9" s="194" customFormat="1" ht="15.75" hidden="1" customHeight="1">
      <c r="A275" s="178" t="s">
        <v>614</v>
      </c>
      <c r="B275" s="178"/>
      <c r="C275" s="178"/>
      <c r="D275" s="200"/>
      <c r="E275" s="195">
        <f>+E276</f>
        <v>102386596.5</v>
      </c>
      <c r="F275" s="196">
        <f>+F276</f>
        <v>0</v>
      </c>
      <c r="G275" s="196">
        <f>+G276</f>
        <v>0</v>
      </c>
      <c r="H275" s="198">
        <f>+H276</f>
        <v>102386596.5</v>
      </c>
      <c r="I275" s="194">
        <f>+G275-[2]BS!$F$11</f>
        <v>-106555897.00999995</v>
      </c>
    </row>
    <row r="276" spans="1:9" s="172" customFormat="1" ht="15.75" hidden="1" customHeight="1">
      <c r="A276" s="162"/>
      <c r="B276" s="145" t="s">
        <v>1546</v>
      </c>
      <c r="C276" s="162"/>
      <c r="D276" s="162"/>
      <c r="E276" s="148">
        <f>SUM(F276:H276)</f>
        <v>102386596.5</v>
      </c>
      <c r="F276" s="154">
        <f>SGE!F30</f>
        <v>0</v>
      </c>
      <c r="G276" s="154">
        <f>[2]SGE!F30</f>
        <v>0</v>
      </c>
      <c r="H276" s="199">
        <f>[1]SGE!E16</f>
        <v>102386596.5</v>
      </c>
      <c r="I276" s="194">
        <f>+G276-[2]BS!$F$11</f>
        <v>-106555897.00999995</v>
      </c>
    </row>
    <row r="277" spans="1:9" s="219" customFormat="1" ht="15.75" customHeight="1">
      <c r="A277" s="178"/>
      <c r="B277" s="178"/>
      <c r="C277" s="178"/>
      <c r="D277" s="178" t="s">
        <v>615</v>
      </c>
      <c r="E277" s="181" t="e">
        <f>+E275+E273+E268</f>
        <v>#REF!</v>
      </c>
      <c r="F277" s="212">
        <f>+F275+F273+F268</f>
        <v>16622479.140000001</v>
      </c>
      <c r="G277" s="212">
        <f>+G275+G273+G268</f>
        <v>160737342.31999999</v>
      </c>
      <c r="H277" s="218" t="e">
        <f>+H275+H273+H268</f>
        <v>#REF!</v>
      </c>
      <c r="I277" s="194">
        <f>+G277-[2]BS!$F$275</f>
        <v>0</v>
      </c>
    </row>
    <row r="278" spans="1:9" ht="15.75" customHeight="1">
      <c r="A278" s="220"/>
      <c r="B278" s="220"/>
      <c r="C278" s="220"/>
      <c r="D278" s="220"/>
      <c r="E278" s="221"/>
      <c r="F278" s="222">
        <f>F233-F277</f>
        <v>0</v>
      </c>
      <c r="G278" s="222">
        <f>G233-G277</f>
        <v>0</v>
      </c>
      <c r="H278" s="223"/>
    </row>
    <row r="279" spans="1:9" s="228" customFormat="1" ht="15.75" customHeight="1">
      <c r="A279" s="224"/>
      <c r="B279" s="224"/>
      <c r="C279" s="224"/>
      <c r="D279" s="224" t="s">
        <v>616</v>
      </c>
      <c r="E279" s="225" t="e">
        <f>+E277-E233</f>
        <v>#REF!</v>
      </c>
      <c r="F279" s="226">
        <f>+F277-F233</f>
        <v>0</v>
      </c>
      <c r="G279" s="226">
        <f>+G277-G233</f>
        <v>0</v>
      </c>
      <c r="H279" s="227" t="e">
        <f>+H277-H233</f>
        <v>#REF!</v>
      </c>
    </row>
    <row r="280" spans="1:9" ht="15.75" customHeight="1">
      <c r="G280" s="229"/>
    </row>
    <row r="281" spans="1:9" ht="15.75" customHeight="1">
      <c r="G281" s="229"/>
    </row>
    <row r="282" spans="1:9" ht="15.75" customHeight="1">
      <c r="A282" s="128" t="s">
        <v>1236</v>
      </c>
    </row>
    <row r="283" spans="1:9" ht="15.75" hidden="1" customHeight="1"/>
    <row r="285" spans="1:9" ht="15.75" customHeight="1">
      <c r="A285" s="230" t="s">
        <v>1237</v>
      </c>
      <c r="D285" s="138"/>
    </row>
    <row r="286" spans="1:9" ht="15.75" customHeight="1">
      <c r="A286" s="177" t="s">
        <v>1183</v>
      </c>
      <c r="D286" s="138"/>
    </row>
  </sheetData>
  <mergeCells count="7">
    <mergeCell ref="A6:G6"/>
    <mergeCell ref="A8:G8"/>
    <mergeCell ref="A7:G7"/>
    <mergeCell ref="A1:G1"/>
    <mergeCell ref="A2:G2"/>
    <mergeCell ref="A3:G3"/>
    <mergeCell ref="A5:G5"/>
  </mergeCells>
  <phoneticPr fontId="34" type="noConversion"/>
  <printOptions horizontalCentered="1"/>
  <pageMargins left="1" right="1" top="1" bottom="1" header="0.5" footer="0.5"/>
  <pageSetup paperSize="149" scale="85"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dimension ref="A1:J336"/>
  <sheetViews>
    <sheetView workbookViewId="0">
      <pane xSplit="6" ySplit="8" topLeftCell="H9" activePane="bottomRight" state="frozen"/>
      <selection pane="topRight" activeCell="C1" sqref="C1"/>
      <selection pane="bottomLeft" activeCell="A9" sqref="A9"/>
      <selection pane="bottomRight" activeCell="F337" sqref="F337"/>
    </sheetView>
  </sheetViews>
  <sheetFormatPr defaultRowHeight="15.75" customHeight="1"/>
  <cols>
    <col min="1" max="2" width="1.42578125" style="35" customWidth="1"/>
    <col min="3" max="5" width="1.42578125" style="29" customWidth="1"/>
    <col min="6" max="6" width="55.7109375" style="29" customWidth="1"/>
    <col min="7" max="7" width="15.7109375" style="32" hidden="1" customWidth="1"/>
    <col min="8" max="8" width="16.7109375" style="116" customWidth="1"/>
    <col min="9" max="10" width="15.7109375" style="32" hidden="1" customWidth="1"/>
    <col min="11" max="11" width="14" style="29" customWidth="1"/>
    <col min="12" max="16384" width="9.140625" style="29"/>
  </cols>
  <sheetData>
    <row r="1" spans="1:10" s="1" customFormat="1" ht="15.75" customHeight="1">
      <c r="A1" s="6" t="s">
        <v>1016</v>
      </c>
      <c r="B1" s="6"/>
      <c r="C1" s="6"/>
      <c r="D1" s="6"/>
      <c r="E1" s="6"/>
      <c r="F1" s="37"/>
      <c r="G1" s="37"/>
      <c r="H1" s="107"/>
    </row>
    <row r="2" spans="1:10" s="1" customFormat="1" ht="15.75" customHeight="1">
      <c r="A2" s="7" t="s">
        <v>1017</v>
      </c>
      <c r="B2" s="7"/>
      <c r="C2" s="7"/>
      <c r="D2" s="7"/>
      <c r="E2" s="7"/>
      <c r="F2" s="38"/>
      <c r="G2" s="38"/>
      <c r="H2" s="107"/>
    </row>
    <row r="3" spans="1:10" s="1" customFormat="1" ht="15.75" customHeight="1">
      <c r="A3" s="6" t="s">
        <v>1018</v>
      </c>
      <c r="B3" s="6"/>
      <c r="C3" s="6"/>
      <c r="D3" s="6"/>
      <c r="E3" s="6"/>
      <c r="F3" s="37"/>
      <c r="G3" s="37"/>
      <c r="H3" s="107"/>
    </row>
    <row r="4" spans="1:10" s="1" customFormat="1" ht="15.75" customHeight="1">
      <c r="A4" s="6"/>
      <c r="B4" s="6"/>
      <c r="C4" s="6"/>
      <c r="D4" s="6"/>
      <c r="E4" s="6"/>
      <c r="F4" s="37"/>
      <c r="G4" s="37"/>
      <c r="H4" s="107"/>
    </row>
    <row r="5" spans="1:10" s="1" customFormat="1" ht="15.75" customHeight="1">
      <c r="A5" s="7" t="s">
        <v>1019</v>
      </c>
      <c r="B5" s="7"/>
      <c r="C5" s="7"/>
      <c r="D5" s="7"/>
      <c r="E5" s="7"/>
      <c r="F5" s="38"/>
      <c r="G5" s="38"/>
      <c r="H5" s="107"/>
    </row>
    <row r="6" spans="1:10" s="1" customFormat="1" ht="15.75" customHeight="1">
      <c r="A6" s="7" t="s">
        <v>1390</v>
      </c>
      <c r="B6" s="7"/>
      <c r="C6" s="7"/>
      <c r="D6" s="7"/>
      <c r="E6" s="7"/>
      <c r="F6" s="38"/>
      <c r="G6" s="38"/>
      <c r="H6" s="107"/>
    </row>
    <row r="7" spans="1:10" s="1" customFormat="1" ht="15.75" customHeight="1">
      <c r="A7" s="6" t="s">
        <v>1391</v>
      </c>
      <c r="B7" s="6"/>
      <c r="C7" s="6"/>
      <c r="D7" s="6"/>
      <c r="E7" s="6"/>
      <c r="F7" s="37"/>
      <c r="G7" s="37"/>
      <c r="H7" s="107"/>
    </row>
    <row r="8" spans="1:10" s="1" customFormat="1" ht="15.75" customHeight="1">
      <c r="A8" s="4"/>
      <c r="B8" s="4"/>
      <c r="C8" s="4"/>
      <c r="D8" s="4"/>
      <c r="E8" s="4"/>
      <c r="F8" s="3"/>
      <c r="G8" s="3"/>
      <c r="H8" s="108"/>
    </row>
    <row r="9" spans="1:10" ht="15.75" customHeight="1">
      <c r="A9" s="83"/>
      <c r="B9" s="83"/>
      <c r="C9" s="84"/>
      <c r="D9" s="84"/>
      <c r="E9" s="84"/>
      <c r="F9" s="84"/>
      <c r="G9" s="85"/>
      <c r="H9" s="109"/>
      <c r="I9" s="28"/>
      <c r="J9" s="28"/>
    </row>
    <row r="10" spans="1:10" s="35" customFormat="1" ht="15.75" customHeight="1">
      <c r="A10" s="86" t="s">
        <v>1392</v>
      </c>
      <c r="B10" s="86"/>
      <c r="C10" s="78"/>
      <c r="D10" s="78"/>
      <c r="E10" s="78"/>
      <c r="F10" s="87"/>
      <c r="G10" s="52"/>
      <c r="H10" s="110"/>
      <c r="I10" s="82"/>
      <c r="J10" s="39"/>
    </row>
    <row r="11" spans="1:10" s="25" customFormat="1" ht="15.75" customHeight="1">
      <c r="A11" s="65"/>
      <c r="B11" s="65" t="s">
        <v>1393</v>
      </c>
      <c r="C11" s="43"/>
      <c r="D11" s="43"/>
      <c r="E11" s="43"/>
      <c r="F11" s="69"/>
      <c r="G11" s="67" t="e">
        <f>SUM(G12:G27)</f>
        <v>#REF!</v>
      </c>
      <c r="H11" s="111">
        <f>SUM(H12:H27)</f>
        <v>0</v>
      </c>
      <c r="I11" s="54" t="e">
        <f>SUM(I12:I27)</f>
        <v>#REF!</v>
      </c>
      <c r="J11" s="15" t="e">
        <f>SUM(J12:J27)</f>
        <v>#REF!</v>
      </c>
    </row>
    <row r="12" spans="1:10" s="17" customFormat="1" ht="15.75" customHeight="1">
      <c r="A12" s="65"/>
      <c r="B12" s="65"/>
      <c r="C12" s="45" t="s">
        <v>1556</v>
      </c>
      <c r="D12" s="43"/>
      <c r="E12" s="43"/>
      <c r="F12" s="43"/>
      <c r="G12" s="44" t="e">
        <f t="shared" ref="G12:G27" si="0">SUM(H12:J12)</f>
        <v>#REF!</v>
      </c>
      <c r="H12" s="112">
        <f>TB!J204</f>
        <v>0</v>
      </c>
      <c r="I12" s="55" t="e">
        <f>[1]Sheet1!L204</f>
        <v>#REF!</v>
      </c>
      <c r="J12" s="16" t="e">
        <f>[1]Sheet1!N204</f>
        <v>#REF!</v>
      </c>
    </row>
    <row r="13" spans="1:10" s="17" customFormat="1" ht="15.75" customHeight="1">
      <c r="A13" s="65"/>
      <c r="B13" s="65"/>
      <c r="C13" s="45" t="s">
        <v>1558</v>
      </c>
      <c r="D13" s="43"/>
      <c r="E13" s="43"/>
      <c r="F13" s="43"/>
      <c r="G13" s="44">
        <f t="shared" si="0"/>
        <v>0</v>
      </c>
      <c r="H13" s="112">
        <f>TB!J205</f>
        <v>0</v>
      </c>
      <c r="I13" s="55"/>
      <c r="J13" s="16"/>
    </row>
    <row r="14" spans="1:10" s="17" customFormat="1" ht="15.75" hidden="1" customHeight="1">
      <c r="A14" s="65"/>
      <c r="B14" s="65"/>
      <c r="C14" s="45" t="s">
        <v>1560</v>
      </c>
      <c r="D14" s="43"/>
      <c r="E14" s="43"/>
      <c r="F14" s="43"/>
      <c r="G14" s="44" t="e">
        <f t="shared" si="0"/>
        <v>#REF!</v>
      </c>
      <c r="H14" s="112">
        <f>TB!J206</f>
        <v>0</v>
      </c>
      <c r="I14" s="55" t="e">
        <f>[1]Sheet1!L205</f>
        <v>#REF!</v>
      </c>
      <c r="J14" s="16" t="e">
        <f>[1]Sheet1!N205</f>
        <v>#REF!</v>
      </c>
    </row>
    <row r="15" spans="1:10" s="17" customFormat="1" ht="15.75" hidden="1" customHeight="1">
      <c r="A15" s="65"/>
      <c r="B15" s="65"/>
      <c r="C15" s="45" t="s">
        <v>1562</v>
      </c>
      <c r="D15" s="43"/>
      <c r="E15" s="43"/>
      <c r="F15" s="43"/>
      <c r="G15" s="44" t="e">
        <f t="shared" si="0"/>
        <v>#REF!</v>
      </c>
      <c r="H15" s="112">
        <f>TB!J207</f>
        <v>0</v>
      </c>
      <c r="I15" s="55" t="e">
        <f>[1]Sheet1!L206</f>
        <v>#REF!</v>
      </c>
      <c r="J15" s="16" t="e">
        <f>[1]Sheet1!N206</f>
        <v>#REF!</v>
      </c>
    </row>
    <row r="16" spans="1:10" s="17" customFormat="1" ht="15.75" hidden="1" customHeight="1">
      <c r="A16" s="65"/>
      <c r="B16" s="65"/>
      <c r="C16" s="45" t="s">
        <v>1564</v>
      </c>
      <c r="D16" s="43"/>
      <c r="E16" s="43"/>
      <c r="F16" s="43"/>
      <c r="G16" s="44" t="e">
        <f t="shared" si="0"/>
        <v>#REF!</v>
      </c>
      <c r="H16" s="112">
        <f>TB!J208</f>
        <v>0</v>
      </c>
      <c r="I16" s="55" t="e">
        <f>[1]Sheet1!L207</f>
        <v>#REF!</v>
      </c>
      <c r="J16" s="16" t="e">
        <f>[1]Sheet1!N207</f>
        <v>#REF!</v>
      </c>
    </row>
    <row r="17" spans="1:10" s="17" customFormat="1" ht="15.75" customHeight="1">
      <c r="A17" s="65"/>
      <c r="B17" s="65"/>
      <c r="C17" s="45" t="s">
        <v>1394</v>
      </c>
      <c r="D17" s="43"/>
      <c r="E17" s="43"/>
      <c r="F17" s="43"/>
      <c r="G17" s="44" t="e">
        <f t="shared" si="0"/>
        <v>#REF!</v>
      </c>
      <c r="H17" s="112">
        <f>TB!J209</f>
        <v>0</v>
      </c>
      <c r="I17" s="55" t="e">
        <f>[1]Sheet1!L208</f>
        <v>#REF!</v>
      </c>
      <c r="J17" s="16" t="e">
        <f>[1]Sheet1!N208</f>
        <v>#REF!</v>
      </c>
    </row>
    <row r="18" spans="1:10" s="17" customFormat="1" ht="15.75" hidden="1" customHeight="1">
      <c r="A18" s="65"/>
      <c r="B18" s="65"/>
      <c r="C18" s="45" t="s">
        <v>2135</v>
      </c>
      <c r="D18" s="43"/>
      <c r="E18" s="43"/>
      <c r="F18" s="43"/>
      <c r="G18" s="44" t="e">
        <f t="shared" si="0"/>
        <v>#REF!</v>
      </c>
      <c r="H18" s="112">
        <f>TB!J210</f>
        <v>0</v>
      </c>
      <c r="I18" s="55" t="e">
        <f>[1]Sheet1!L209</f>
        <v>#REF!</v>
      </c>
      <c r="J18" s="16" t="e">
        <f>[1]Sheet1!N209</f>
        <v>#REF!</v>
      </c>
    </row>
    <row r="19" spans="1:10" s="17" customFormat="1" ht="15.75" customHeight="1">
      <c r="A19" s="65"/>
      <c r="B19" s="65"/>
      <c r="C19" s="45" t="s">
        <v>2137</v>
      </c>
      <c r="D19" s="43"/>
      <c r="E19" s="43"/>
      <c r="F19" s="43"/>
      <c r="G19" s="44" t="e">
        <f t="shared" si="0"/>
        <v>#REF!</v>
      </c>
      <c r="H19" s="112">
        <f>TB!J211</f>
        <v>0</v>
      </c>
      <c r="I19" s="55" t="e">
        <f>[1]Sheet1!L210</f>
        <v>#REF!</v>
      </c>
      <c r="J19" s="16" t="e">
        <f>[1]Sheet1!N210</f>
        <v>#REF!</v>
      </c>
    </row>
    <row r="20" spans="1:10" s="17" customFormat="1" ht="15.75" customHeight="1">
      <c r="A20" s="65"/>
      <c r="B20" s="65"/>
      <c r="C20" s="45" t="s">
        <v>2139</v>
      </c>
      <c r="D20" s="43"/>
      <c r="E20" s="43"/>
      <c r="F20" s="43"/>
      <c r="G20" s="44" t="e">
        <f t="shared" si="0"/>
        <v>#REF!</v>
      </c>
      <c r="H20" s="112">
        <f>TB!J212</f>
        <v>0</v>
      </c>
      <c r="I20" s="55" t="e">
        <f>[1]Sheet1!L211</f>
        <v>#REF!</v>
      </c>
      <c r="J20" s="16" t="e">
        <f>[1]Sheet1!N211</f>
        <v>#REF!</v>
      </c>
    </row>
    <row r="21" spans="1:10" s="17" customFormat="1" ht="15.75" hidden="1" customHeight="1">
      <c r="A21" s="65"/>
      <c r="B21" s="65"/>
      <c r="C21" s="45" t="s">
        <v>2141</v>
      </c>
      <c r="D21" s="43"/>
      <c r="E21" s="43"/>
      <c r="F21" s="43"/>
      <c r="G21" s="44" t="e">
        <f t="shared" si="0"/>
        <v>#REF!</v>
      </c>
      <c r="H21" s="112">
        <f>TB!J213</f>
        <v>0</v>
      </c>
      <c r="I21" s="55" t="e">
        <f>[1]Sheet1!L212</f>
        <v>#REF!</v>
      </c>
      <c r="J21" s="16" t="e">
        <f>[1]Sheet1!N212</f>
        <v>#REF!</v>
      </c>
    </row>
    <row r="22" spans="1:10" s="17" customFormat="1" ht="15.75" hidden="1" customHeight="1">
      <c r="A22" s="65"/>
      <c r="B22" s="65"/>
      <c r="C22" s="45" t="s">
        <v>2143</v>
      </c>
      <c r="D22" s="43"/>
      <c r="E22" s="43"/>
      <c r="F22" s="43"/>
      <c r="G22" s="44" t="e">
        <f t="shared" si="0"/>
        <v>#REF!</v>
      </c>
      <c r="H22" s="112">
        <f>TB!J214</f>
        <v>0</v>
      </c>
      <c r="I22" s="55" t="e">
        <f>[1]Sheet1!L213</f>
        <v>#REF!</v>
      </c>
      <c r="J22" s="16" t="e">
        <f>[1]Sheet1!N213</f>
        <v>#REF!</v>
      </c>
    </row>
    <row r="23" spans="1:10" s="17" customFormat="1" ht="15.75" hidden="1" customHeight="1">
      <c r="A23" s="65"/>
      <c r="B23" s="65"/>
      <c r="C23" s="45" t="s">
        <v>2145</v>
      </c>
      <c r="D23" s="43"/>
      <c r="E23" s="43"/>
      <c r="F23" s="43"/>
      <c r="G23" s="44" t="e">
        <f t="shared" si="0"/>
        <v>#REF!</v>
      </c>
      <c r="H23" s="112">
        <f>TB!J215</f>
        <v>0</v>
      </c>
      <c r="I23" s="55" t="e">
        <f>[1]Sheet1!L214</f>
        <v>#REF!</v>
      </c>
      <c r="J23" s="16" t="e">
        <f>[1]Sheet1!N214</f>
        <v>#REF!</v>
      </c>
    </row>
    <row r="24" spans="1:10" s="17" customFormat="1" ht="15.75" customHeight="1">
      <c r="A24" s="65"/>
      <c r="B24" s="65"/>
      <c r="C24" s="45" t="s">
        <v>2147</v>
      </c>
      <c r="D24" s="43"/>
      <c r="E24" s="43"/>
      <c r="F24" s="43"/>
      <c r="G24" s="44" t="e">
        <f t="shared" si="0"/>
        <v>#REF!</v>
      </c>
      <c r="H24" s="112">
        <f>TB!J216</f>
        <v>0</v>
      </c>
      <c r="I24" s="55" t="e">
        <f>[1]Sheet1!L215</f>
        <v>#REF!</v>
      </c>
      <c r="J24" s="16" t="e">
        <f>[1]Sheet1!N215</f>
        <v>#REF!</v>
      </c>
    </row>
    <row r="25" spans="1:10" s="17" customFormat="1" ht="15.75" customHeight="1">
      <c r="A25" s="65"/>
      <c r="B25" s="65"/>
      <c r="C25" s="45" t="s">
        <v>2149</v>
      </c>
      <c r="D25" s="43"/>
      <c r="E25" s="43"/>
      <c r="F25" s="43"/>
      <c r="G25" s="44" t="e">
        <f t="shared" si="0"/>
        <v>#REF!</v>
      </c>
      <c r="H25" s="112">
        <f>TB!J217</f>
        <v>0</v>
      </c>
      <c r="I25" s="55" t="e">
        <f>[1]Sheet1!L216</f>
        <v>#REF!</v>
      </c>
      <c r="J25" s="16" t="e">
        <f>[1]Sheet1!N216</f>
        <v>#REF!</v>
      </c>
    </row>
    <row r="26" spans="1:10" s="17" customFormat="1" ht="15.75" customHeight="1">
      <c r="A26" s="65"/>
      <c r="B26" s="65"/>
      <c r="C26" s="45" t="s">
        <v>2151</v>
      </c>
      <c r="D26" s="43"/>
      <c r="E26" s="43"/>
      <c r="F26" s="43"/>
      <c r="G26" s="44" t="e">
        <f t="shared" si="0"/>
        <v>#REF!</v>
      </c>
      <c r="H26" s="112">
        <f>TB!J218</f>
        <v>0</v>
      </c>
      <c r="I26" s="55" t="e">
        <f>[1]Sheet1!L217</f>
        <v>#REF!</v>
      </c>
      <c r="J26" s="16" t="e">
        <f>[1]Sheet1!N217</f>
        <v>#REF!</v>
      </c>
    </row>
    <row r="27" spans="1:10" s="17" customFormat="1" ht="15.75" customHeight="1">
      <c r="A27" s="65"/>
      <c r="B27" s="65"/>
      <c r="C27" s="45" t="s">
        <v>2153</v>
      </c>
      <c r="D27" s="43"/>
      <c r="E27" s="43"/>
      <c r="F27" s="43"/>
      <c r="G27" s="44" t="e">
        <f t="shared" si="0"/>
        <v>#REF!</v>
      </c>
      <c r="H27" s="112">
        <f>TB!J219</f>
        <v>0</v>
      </c>
      <c r="I27" s="55" t="e">
        <f>[1]Sheet1!L218</f>
        <v>#REF!</v>
      </c>
      <c r="J27" s="16" t="e">
        <f>[1]Sheet1!N218</f>
        <v>#REF!</v>
      </c>
    </row>
    <row r="28" spans="1:10" s="25" customFormat="1" ht="15.75" customHeight="1">
      <c r="A28" s="65" t="s">
        <v>1395</v>
      </c>
      <c r="B28" s="65"/>
      <c r="C28" s="43"/>
      <c r="D28" s="43"/>
      <c r="E28" s="43"/>
      <c r="F28" s="69"/>
      <c r="G28" s="67" t="e">
        <f>+G29+G38+G55+G76</f>
        <v>#REF!</v>
      </c>
      <c r="H28" s="111">
        <f>+H29+H38+H55+H76</f>
        <v>0</v>
      </c>
      <c r="I28" s="54" t="e">
        <f>+I29+I38+I55+I76</f>
        <v>#REF!</v>
      </c>
      <c r="J28" s="15" t="e">
        <f>+J29+J38+J55+J76</f>
        <v>#REF!</v>
      </c>
    </row>
    <row r="29" spans="1:10" s="25" customFormat="1" ht="15.75" customHeight="1">
      <c r="A29" s="65"/>
      <c r="B29" s="65" t="s">
        <v>1396</v>
      </c>
      <c r="C29" s="43"/>
      <c r="D29" s="43"/>
      <c r="E29" s="43"/>
      <c r="F29" s="69"/>
      <c r="G29" s="67" t="e">
        <f>SUM(G30:G37)</f>
        <v>#REF!</v>
      </c>
      <c r="H29" s="111">
        <f>SUM(H30:H37)</f>
        <v>0</v>
      </c>
      <c r="I29" s="54" t="e">
        <f>SUM(I30:I37)</f>
        <v>#REF!</v>
      </c>
      <c r="J29" s="15" t="e">
        <f>SUM(J30:J37)</f>
        <v>#REF!</v>
      </c>
    </row>
    <row r="30" spans="1:10" s="17" customFormat="1" ht="15.75" hidden="1" customHeight="1">
      <c r="A30" s="65"/>
      <c r="B30" s="65"/>
      <c r="C30" s="45" t="s">
        <v>2155</v>
      </c>
      <c r="D30" s="43"/>
      <c r="E30" s="43"/>
      <c r="F30" s="43"/>
      <c r="G30" s="44" t="e">
        <f t="shared" ref="G30:G37" si="1">SUM(H30:J30)</f>
        <v>#REF!</v>
      </c>
      <c r="H30" s="112">
        <f>TB!J220</f>
        <v>0</v>
      </c>
      <c r="I30" s="55" t="e">
        <f>[1]Sheet1!L219</f>
        <v>#REF!</v>
      </c>
      <c r="J30" s="16" t="e">
        <f>[1]Sheet1!N219</f>
        <v>#REF!</v>
      </c>
    </row>
    <row r="31" spans="1:10" s="17" customFormat="1" ht="15.75" hidden="1" customHeight="1">
      <c r="A31" s="65"/>
      <c r="B31" s="65"/>
      <c r="C31" s="45" t="s">
        <v>2157</v>
      </c>
      <c r="D31" s="43"/>
      <c r="E31" s="43"/>
      <c r="F31" s="43"/>
      <c r="G31" s="44" t="e">
        <f t="shared" si="1"/>
        <v>#REF!</v>
      </c>
      <c r="H31" s="112">
        <f>TB!J221</f>
        <v>0</v>
      </c>
      <c r="I31" s="55" t="e">
        <f>[1]Sheet1!L220</f>
        <v>#REF!</v>
      </c>
      <c r="J31" s="16" t="e">
        <f>[1]Sheet1!N220</f>
        <v>#REF!</v>
      </c>
    </row>
    <row r="32" spans="1:10" s="17" customFormat="1" ht="15.75" hidden="1" customHeight="1">
      <c r="A32" s="65"/>
      <c r="B32" s="65"/>
      <c r="C32" s="45" t="s">
        <v>2159</v>
      </c>
      <c r="D32" s="43"/>
      <c r="E32" s="43"/>
      <c r="F32" s="43"/>
      <c r="G32" s="44" t="e">
        <f t="shared" si="1"/>
        <v>#REF!</v>
      </c>
      <c r="H32" s="112">
        <f>TB!J222</f>
        <v>0</v>
      </c>
      <c r="I32" s="55" t="e">
        <f>[1]Sheet1!L221</f>
        <v>#REF!</v>
      </c>
      <c r="J32" s="16" t="e">
        <f>[1]Sheet1!N221</f>
        <v>#REF!</v>
      </c>
    </row>
    <row r="33" spans="1:10" s="17" customFormat="1" ht="15.75" hidden="1" customHeight="1">
      <c r="A33" s="65"/>
      <c r="B33" s="65"/>
      <c r="C33" s="45" t="s">
        <v>2161</v>
      </c>
      <c r="D33" s="43"/>
      <c r="E33" s="43"/>
      <c r="F33" s="43"/>
      <c r="G33" s="44" t="e">
        <f t="shared" si="1"/>
        <v>#REF!</v>
      </c>
      <c r="H33" s="112">
        <f>TB!J223</f>
        <v>0</v>
      </c>
      <c r="I33" s="55" t="e">
        <f>[1]Sheet1!L222</f>
        <v>#REF!</v>
      </c>
      <c r="J33" s="16" t="e">
        <f>[1]Sheet1!N222</f>
        <v>#REF!</v>
      </c>
    </row>
    <row r="34" spans="1:10" s="17" customFormat="1" ht="15.75" customHeight="1">
      <c r="A34" s="65"/>
      <c r="B34" s="65"/>
      <c r="C34" s="45" t="s">
        <v>2163</v>
      </c>
      <c r="D34" s="43"/>
      <c r="E34" s="43"/>
      <c r="F34" s="43"/>
      <c r="G34" s="44" t="e">
        <f t="shared" si="1"/>
        <v>#REF!</v>
      </c>
      <c r="H34" s="112">
        <f>TB!J224</f>
        <v>0</v>
      </c>
      <c r="I34" s="55" t="e">
        <f>[1]Sheet1!L223</f>
        <v>#REF!</v>
      </c>
      <c r="J34" s="16" t="e">
        <f>[1]Sheet1!N223</f>
        <v>#REF!</v>
      </c>
    </row>
    <row r="35" spans="1:10" s="17" customFormat="1" ht="15.75" hidden="1" customHeight="1">
      <c r="A35" s="65"/>
      <c r="B35" s="65"/>
      <c r="C35" s="45" t="s">
        <v>2165</v>
      </c>
      <c r="D35" s="43"/>
      <c r="E35" s="43"/>
      <c r="F35" s="43"/>
      <c r="G35" s="44" t="e">
        <f t="shared" si="1"/>
        <v>#REF!</v>
      </c>
      <c r="H35" s="112">
        <f>TB!J225</f>
        <v>0</v>
      </c>
      <c r="I35" s="55" t="e">
        <f>[1]Sheet1!L224</f>
        <v>#REF!</v>
      </c>
      <c r="J35" s="16" t="e">
        <f>[1]Sheet1!N224</f>
        <v>#REF!</v>
      </c>
    </row>
    <row r="36" spans="1:10" s="17" customFormat="1" ht="15.75" hidden="1" customHeight="1">
      <c r="A36" s="65"/>
      <c r="B36" s="65"/>
      <c r="C36" s="45" t="s">
        <v>2167</v>
      </c>
      <c r="D36" s="43"/>
      <c r="E36" s="43"/>
      <c r="F36" s="43"/>
      <c r="G36" s="44" t="e">
        <f t="shared" si="1"/>
        <v>#REF!</v>
      </c>
      <c r="H36" s="112">
        <f>TB!J226</f>
        <v>0</v>
      </c>
      <c r="I36" s="55" t="e">
        <f>[1]Sheet1!L225</f>
        <v>#REF!</v>
      </c>
      <c r="J36" s="16" t="e">
        <f>[1]Sheet1!N225</f>
        <v>#REF!</v>
      </c>
    </row>
    <row r="37" spans="1:10" s="17" customFormat="1" ht="15.75" hidden="1" customHeight="1">
      <c r="A37" s="65"/>
      <c r="B37" s="65"/>
      <c r="C37" s="45" t="s">
        <v>652</v>
      </c>
      <c r="D37" s="43"/>
      <c r="E37" s="43"/>
      <c r="F37" s="43"/>
      <c r="G37" s="44" t="e">
        <f t="shared" si="1"/>
        <v>#REF!</v>
      </c>
      <c r="H37" s="112">
        <f>TB!J227</f>
        <v>0</v>
      </c>
      <c r="I37" s="55" t="e">
        <f>[1]Sheet1!L226</f>
        <v>#REF!</v>
      </c>
      <c r="J37" s="16" t="e">
        <f>[1]Sheet1!N226</f>
        <v>#REF!</v>
      </c>
    </row>
    <row r="38" spans="1:10" s="21" customFormat="1" ht="15.75" customHeight="1">
      <c r="A38" s="65"/>
      <c r="B38" s="65" t="s">
        <v>1397</v>
      </c>
      <c r="C38" s="43"/>
      <c r="D38" s="43"/>
      <c r="E38" s="43"/>
      <c r="F38" s="45"/>
      <c r="G38" s="72" t="e">
        <f>SUM(G39:G54)</f>
        <v>#REF!</v>
      </c>
      <c r="H38" s="113">
        <f>SUM(H39:H54)</f>
        <v>0</v>
      </c>
      <c r="I38" s="57" t="e">
        <f>SUM(I39:I54)</f>
        <v>#REF!</v>
      </c>
      <c r="J38" s="18" t="e">
        <f>SUM(J39:J54)</f>
        <v>#REF!</v>
      </c>
    </row>
    <row r="39" spans="1:10" s="17" customFormat="1" ht="15.75" hidden="1" customHeight="1">
      <c r="A39" s="65"/>
      <c r="B39" s="65"/>
      <c r="C39" s="45" t="s">
        <v>654</v>
      </c>
      <c r="D39" s="43"/>
      <c r="E39" s="43"/>
      <c r="F39" s="43"/>
      <c r="G39" s="44" t="e">
        <f t="shared" ref="G39:G54" si="2">SUM(H39:J39)</f>
        <v>#REF!</v>
      </c>
      <c r="H39" s="112">
        <f>TB!J228</f>
        <v>0</v>
      </c>
      <c r="I39" s="55" t="e">
        <f>[1]Sheet1!L227</f>
        <v>#REF!</v>
      </c>
      <c r="J39" s="16" t="e">
        <f>[1]Sheet1!N227</f>
        <v>#REF!</v>
      </c>
    </row>
    <row r="40" spans="1:10" s="17" customFormat="1" ht="15.75" hidden="1" customHeight="1">
      <c r="A40" s="65"/>
      <c r="B40" s="65"/>
      <c r="C40" s="45" t="s">
        <v>656</v>
      </c>
      <c r="D40" s="43"/>
      <c r="E40" s="43"/>
      <c r="F40" s="43"/>
      <c r="G40" s="44" t="e">
        <f t="shared" si="2"/>
        <v>#REF!</v>
      </c>
      <c r="H40" s="112">
        <f>TB!J229</f>
        <v>0</v>
      </c>
      <c r="I40" s="55" t="e">
        <f>[1]Sheet1!L228</f>
        <v>#REF!</v>
      </c>
      <c r="J40" s="16" t="e">
        <f>[1]Sheet1!N228</f>
        <v>#REF!</v>
      </c>
    </row>
    <row r="41" spans="1:10" s="17" customFormat="1" ht="15.75" customHeight="1">
      <c r="A41" s="65"/>
      <c r="B41" s="65"/>
      <c r="C41" s="45" t="s">
        <v>658</v>
      </c>
      <c r="D41" s="43"/>
      <c r="E41" s="43"/>
      <c r="F41" s="43"/>
      <c r="G41" s="44" t="e">
        <f t="shared" si="2"/>
        <v>#REF!</v>
      </c>
      <c r="H41" s="112">
        <f>TB!J230</f>
        <v>0</v>
      </c>
      <c r="I41" s="55" t="e">
        <f>[1]Sheet1!L229</f>
        <v>#REF!</v>
      </c>
      <c r="J41" s="16" t="e">
        <f>[1]Sheet1!N229</f>
        <v>#REF!</v>
      </c>
    </row>
    <row r="42" spans="1:10" s="17" customFormat="1" ht="15.75" hidden="1" customHeight="1">
      <c r="A42" s="65"/>
      <c r="B42" s="65"/>
      <c r="C42" s="45" t="s">
        <v>660</v>
      </c>
      <c r="D42" s="43"/>
      <c r="E42" s="43"/>
      <c r="F42" s="43"/>
      <c r="G42" s="44" t="e">
        <f t="shared" si="2"/>
        <v>#REF!</v>
      </c>
      <c r="H42" s="112">
        <f>TB!J231</f>
        <v>0</v>
      </c>
      <c r="I42" s="55" t="e">
        <f>[1]Sheet1!L230</f>
        <v>#REF!</v>
      </c>
      <c r="J42" s="16" t="e">
        <f>[1]Sheet1!N230</f>
        <v>#REF!</v>
      </c>
    </row>
    <row r="43" spans="1:10" s="17" customFormat="1" ht="15.75" hidden="1" customHeight="1">
      <c r="A43" s="65"/>
      <c r="B43" s="65"/>
      <c r="C43" s="45" t="s">
        <v>662</v>
      </c>
      <c r="D43" s="43"/>
      <c r="E43" s="43"/>
      <c r="F43" s="43"/>
      <c r="G43" s="44" t="e">
        <f t="shared" si="2"/>
        <v>#REF!</v>
      </c>
      <c r="H43" s="112">
        <f>TB!J232</f>
        <v>0</v>
      </c>
      <c r="I43" s="55" t="e">
        <f>[1]Sheet1!L231</f>
        <v>#REF!</v>
      </c>
      <c r="J43" s="16" t="e">
        <f>[1]Sheet1!N231</f>
        <v>#REF!</v>
      </c>
    </row>
    <row r="44" spans="1:10" s="17" customFormat="1" ht="15.75" hidden="1" customHeight="1">
      <c r="A44" s="65"/>
      <c r="B44" s="65"/>
      <c r="C44" s="45" t="s">
        <v>664</v>
      </c>
      <c r="D44" s="43"/>
      <c r="E44" s="43"/>
      <c r="F44" s="43"/>
      <c r="G44" s="44" t="e">
        <f t="shared" si="2"/>
        <v>#REF!</v>
      </c>
      <c r="H44" s="112">
        <f>TB!J233</f>
        <v>0</v>
      </c>
      <c r="I44" s="55" t="e">
        <f>[1]Sheet1!L232</f>
        <v>#REF!</v>
      </c>
      <c r="J44" s="16" t="e">
        <f>[1]Sheet1!N232</f>
        <v>#REF!</v>
      </c>
    </row>
    <row r="45" spans="1:10" s="17" customFormat="1" ht="15.75" hidden="1" customHeight="1">
      <c r="A45" s="65"/>
      <c r="B45" s="65"/>
      <c r="C45" s="45" t="s">
        <v>666</v>
      </c>
      <c r="D45" s="43"/>
      <c r="E45" s="43"/>
      <c r="F45" s="43"/>
      <c r="G45" s="44" t="e">
        <f t="shared" si="2"/>
        <v>#REF!</v>
      </c>
      <c r="H45" s="112">
        <f>TB!J234</f>
        <v>0</v>
      </c>
      <c r="I45" s="55" t="e">
        <f>[1]Sheet1!L233</f>
        <v>#REF!</v>
      </c>
      <c r="J45" s="16" t="e">
        <f>[1]Sheet1!N233</f>
        <v>#REF!</v>
      </c>
    </row>
    <row r="46" spans="1:10" s="17" customFormat="1" ht="15.75" hidden="1" customHeight="1">
      <c r="A46" s="65"/>
      <c r="B46" s="65"/>
      <c r="C46" s="45" t="s">
        <v>668</v>
      </c>
      <c r="D46" s="43"/>
      <c r="E46" s="43"/>
      <c r="F46" s="43"/>
      <c r="G46" s="44" t="e">
        <f t="shared" si="2"/>
        <v>#REF!</v>
      </c>
      <c r="H46" s="112">
        <f>TB!J235</f>
        <v>0</v>
      </c>
      <c r="I46" s="55" t="e">
        <f>[1]Sheet1!L234</f>
        <v>#REF!</v>
      </c>
      <c r="J46" s="16" t="e">
        <f>[1]Sheet1!N234</f>
        <v>#REF!</v>
      </c>
    </row>
    <row r="47" spans="1:10" s="17" customFormat="1" ht="15.75" hidden="1" customHeight="1">
      <c r="A47" s="65"/>
      <c r="B47" s="65"/>
      <c r="C47" s="45" t="s">
        <v>2200</v>
      </c>
      <c r="D47" s="43"/>
      <c r="E47" s="43"/>
      <c r="F47" s="43"/>
      <c r="G47" s="44" t="e">
        <f t="shared" si="2"/>
        <v>#REF!</v>
      </c>
      <c r="H47" s="112">
        <f>TB!J236</f>
        <v>0</v>
      </c>
      <c r="I47" s="55" t="e">
        <f>[1]Sheet1!L235</f>
        <v>#REF!</v>
      </c>
      <c r="J47" s="16" t="e">
        <f>[1]Sheet1!N235</f>
        <v>#REF!</v>
      </c>
    </row>
    <row r="48" spans="1:10" s="17" customFormat="1" ht="15.75" hidden="1" customHeight="1">
      <c r="A48" s="65"/>
      <c r="B48" s="65"/>
      <c r="C48" s="45" t="s">
        <v>777</v>
      </c>
      <c r="D48" s="43"/>
      <c r="E48" s="43"/>
      <c r="F48" s="43"/>
      <c r="G48" s="44" t="e">
        <f t="shared" si="2"/>
        <v>#REF!</v>
      </c>
      <c r="H48" s="112">
        <f>TB!J237</f>
        <v>0</v>
      </c>
      <c r="I48" s="55" t="e">
        <f>[1]Sheet1!L236</f>
        <v>#REF!</v>
      </c>
      <c r="J48" s="16" t="e">
        <f>[1]Sheet1!N236</f>
        <v>#REF!</v>
      </c>
    </row>
    <row r="49" spans="1:10" s="17" customFormat="1" ht="15.75" hidden="1" customHeight="1">
      <c r="A49" s="65"/>
      <c r="B49" s="65"/>
      <c r="C49" s="45" t="s">
        <v>1222</v>
      </c>
      <c r="D49" s="43"/>
      <c r="E49" s="43"/>
      <c r="F49" s="43"/>
      <c r="G49" s="44" t="e">
        <f t="shared" si="2"/>
        <v>#REF!</v>
      </c>
      <c r="H49" s="112">
        <f>TB!J238</f>
        <v>0</v>
      </c>
      <c r="I49" s="55" t="e">
        <f>[1]Sheet1!L237</f>
        <v>#REF!</v>
      </c>
      <c r="J49" s="16" t="e">
        <f>[1]Sheet1!N237</f>
        <v>#REF!</v>
      </c>
    </row>
    <row r="50" spans="1:10" s="17" customFormat="1" ht="15.75" hidden="1" customHeight="1">
      <c r="A50" s="65"/>
      <c r="B50" s="65"/>
      <c r="C50" s="45" t="s">
        <v>1224</v>
      </c>
      <c r="D50" s="43"/>
      <c r="E50" s="43"/>
      <c r="F50" s="43"/>
      <c r="G50" s="44" t="e">
        <f t="shared" si="2"/>
        <v>#REF!</v>
      </c>
      <c r="H50" s="112">
        <f>TB!J239</f>
        <v>0</v>
      </c>
      <c r="I50" s="55" t="e">
        <f>[1]Sheet1!L238</f>
        <v>#REF!</v>
      </c>
      <c r="J50" s="16" t="e">
        <f>[1]Sheet1!N238</f>
        <v>#REF!</v>
      </c>
    </row>
    <row r="51" spans="1:10" s="17" customFormat="1" ht="15.75" hidden="1" customHeight="1">
      <c r="A51" s="65"/>
      <c r="B51" s="65"/>
      <c r="C51" s="45" t="s">
        <v>1226</v>
      </c>
      <c r="D51" s="43"/>
      <c r="E51" s="43"/>
      <c r="F51" s="43"/>
      <c r="G51" s="44" t="e">
        <f t="shared" si="2"/>
        <v>#REF!</v>
      </c>
      <c r="H51" s="112">
        <f>TB!J240</f>
        <v>0</v>
      </c>
      <c r="I51" s="55" t="e">
        <f>[1]Sheet1!L239</f>
        <v>#REF!</v>
      </c>
      <c r="J51" s="16" t="e">
        <f>[1]Sheet1!N239</f>
        <v>#REF!</v>
      </c>
    </row>
    <row r="52" spans="1:10" s="17" customFormat="1" ht="15.75" hidden="1" customHeight="1">
      <c r="A52" s="65"/>
      <c r="B52" s="65"/>
      <c r="C52" s="45" t="s">
        <v>1228</v>
      </c>
      <c r="D52" s="43"/>
      <c r="E52" s="43"/>
      <c r="F52" s="43"/>
      <c r="G52" s="44" t="e">
        <f t="shared" si="2"/>
        <v>#REF!</v>
      </c>
      <c r="H52" s="112">
        <f>TB!J241</f>
        <v>0</v>
      </c>
      <c r="I52" s="55" t="e">
        <f>[1]Sheet1!L240</f>
        <v>#REF!</v>
      </c>
      <c r="J52" s="16" t="e">
        <f>[1]Sheet1!N240</f>
        <v>#REF!</v>
      </c>
    </row>
    <row r="53" spans="1:10" s="17" customFormat="1" ht="15.75" customHeight="1">
      <c r="A53" s="65"/>
      <c r="B53" s="65"/>
      <c r="C53" s="45" t="s">
        <v>1230</v>
      </c>
      <c r="D53" s="43"/>
      <c r="E53" s="43"/>
      <c r="F53" s="43"/>
      <c r="G53" s="44" t="e">
        <f t="shared" si="2"/>
        <v>#REF!</v>
      </c>
      <c r="H53" s="112">
        <f>TB!J242</f>
        <v>0</v>
      </c>
      <c r="I53" s="55" t="e">
        <f>[1]Sheet1!L241</f>
        <v>#REF!</v>
      </c>
      <c r="J53" s="16" t="e">
        <f>[1]Sheet1!N241</f>
        <v>#REF!</v>
      </c>
    </row>
    <row r="54" spans="1:10" s="17" customFormat="1" ht="15.75" hidden="1" customHeight="1">
      <c r="A54" s="65"/>
      <c r="B54" s="65"/>
      <c r="C54" s="45" t="s">
        <v>1232</v>
      </c>
      <c r="D54" s="43"/>
      <c r="E54" s="43"/>
      <c r="F54" s="43"/>
      <c r="G54" s="44" t="e">
        <f t="shared" si="2"/>
        <v>#REF!</v>
      </c>
      <c r="H54" s="112">
        <f>TB!J244</f>
        <v>0</v>
      </c>
      <c r="I54" s="55" t="e">
        <f>[1]Sheet1!L242</f>
        <v>#REF!</v>
      </c>
      <c r="J54" s="16" t="e">
        <f>[1]Sheet1!N242</f>
        <v>#REF!</v>
      </c>
    </row>
    <row r="55" spans="1:10" s="17" customFormat="1" ht="15.75" customHeight="1">
      <c r="A55" s="65"/>
      <c r="B55" s="65" t="s">
        <v>1398</v>
      </c>
      <c r="C55" s="43"/>
      <c r="D55" s="43"/>
      <c r="E55" s="43"/>
      <c r="F55" s="45"/>
      <c r="G55" s="72" t="e">
        <f>SUM(G56:G72)+G75</f>
        <v>#REF!</v>
      </c>
      <c r="H55" s="113">
        <f>SUM(H56:H72)+H75</f>
        <v>0</v>
      </c>
      <c r="I55" s="57" t="e">
        <f>SUM(I56:I72)+I75</f>
        <v>#REF!</v>
      </c>
      <c r="J55" s="18" t="e">
        <f>SUM(J56:J72)+J75</f>
        <v>#REF!</v>
      </c>
    </row>
    <row r="56" spans="1:10" s="17" customFormat="1" ht="15.75" customHeight="1">
      <c r="A56" s="65"/>
      <c r="B56" s="65"/>
      <c r="C56" s="45" t="s">
        <v>1234</v>
      </c>
      <c r="D56" s="43"/>
      <c r="E56" s="43"/>
      <c r="F56" s="43"/>
      <c r="G56" s="44" t="e">
        <f t="shared" ref="G56:G67" si="3">SUM(H56:J56)</f>
        <v>#REF!</v>
      </c>
      <c r="H56" s="112">
        <f>TB!J245</f>
        <v>0</v>
      </c>
      <c r="I56" s="55" t="e">
        <f>[1]Sheet1!L243</f>
        <v>#REF!</v>
      </c>
      <c r="J56" s="16" t="e">
        <f>[1]Sheet1!N243</f>
        <v>#REF!</v>
      </c>
    </row>
    <row r="57" spans="1:10" s="17" customFormat="1" ht="15.75" hidden="1" customHeight="1">
      <c r="A57" s="65"/>
      <c r="B57" s="65"/>
      <c r="C57" s="45" t="s">
        <v>2006</v>
      </c>
      <c r="D57" s="43"/>
      <c r="E57" s="43"/>
      <c r="F57" s="43"/>
      <c r="G57" s="44" t="e">
        <f t="shared" si="3"/>
        <v>#REF!</v>
      </c>
      <c r="H57" s="112">
        <f>TB!J246</f>
        <v>0</v>
      </c>
      <c r="I57" s="55" t="e">
        <f>[1]Sheet1!L244</f>
        <v>#REF!</v>
      </c>
      <c r="J57" s="16" t="e">
        <f>[1]Sheet1!N244</f>
        <v>#REF!</v>
      </c>
    </row>
    <row r="58" spans="1:10" s="17" customFormat="1" ht="15.75" hidden="1" customHeight="1">
      <c r="A58" s="65"/>
      <c r="B58" s="65"/>
      <c r="C58" s="45" t="s">
        <v>2008</v>
      </c>
      <c r="D58" s="43"/>
      <c r="E58" s="43"/>
      <c r="F58" s="43"/>
      <c r="G58" s="44" t="e">
        <f t="shared" si="3"/>
        <v>#REF!</v>
      </c>
      <c r="H58" s="112">
        <f>TB!J247</f>
        <v>0</v>
      </c>
      <c r="I58" s="55" t="e">
        <f>[1]Sheet1!L245</f>
        <v>#REF!</v>
      </c>
      <c r="J58" s="16" t="e">
        <f>[1]Sheet1!N245</f>
        <v>#REF!</v>
      </c>
    </row>
    <row r="59" spans="1:10" s="17" customFormat="1" ht="15.75" hidden="1" customHeight="1">
      <c r="A59" s="65"/>
      <c r="B59" s="65"/>
      <c r="C59" s="45" t="s">
        <v>2010</v>
      </c>
      <c r="D59" s="43"/>
      <c r="E59" s="43"/>
      <c r="F59" s="43"/>
      <c r="G59" s="44" t="e">
        <f t="shared" si="3"/>
        <v>#REF!</v>
      </c>
      <c r="H59" s="112">
        <f>TB!J248</f>
        <v>0</v>
      </c>
      <c r="I59" s="55" t="e">
        <f>[1]Sheet1!L246</f>
        <v>#REF!</v>
      </c>
      <c r="J59" s="16" t="e">
        <f>[1]Sheet1!N246</f>
        <v>#REF!</v>
      </c>
    </row>
    <row r="60" spans="1:10" s="17" customFormat="1" ht="15.75" hidden="1" customHeight="1">
      <c r="A60" s="65"/>
      <c r="B60" s="65"/>
      <c r="C60" s="45" t="s">
        <v>2012</v>
      </c>
      <c r="D60" s="43"/>
      <c r="E60" s="43"/>
      <c r="F60" s="43"/>
      <c r="G60" s="44" t="e">
        <f t="shared" si="3"/>
        <v>#REF!</v>
      </c>
      <c r="H60" s="112">
        <f>TB!J249</f>
        <v>0</v>
      </c>
      <c r="I60" s="55" t="e">
        <f>[1]Sheet1!L247</f>
        <v>#REF!</v>
      </c>
      <c r="J60" s="16" t="e">
        <f>[1]Sheet1!N247</f>
        <v>#REF!</v>
      </c>
    </row>
    <row r="61" spans="1:10" s="17" customFormat="1" ht="15.75" hidden="1" customHeight="1">
      <c r="A61" s="65"/>
      <c r="B61" s="65"/>
      <c r="C61" s="45" t="s">
        <v>2014</v>
      </c>
      <c r="D61" s="43"/>
      <c r="E61" s="43"/>
      <c r="F61" s="43"/>
      <c r="G61" s="44" t="e">
        <f t="shared" si="3"/>
        <v>#REF!</v>
      </c>
      <c r="H61" s="112">
        <f>TB!J250</f>
        <v>0</v>
      </c>
      <c r="I61" s="55" t="e">
        <f>[1]Sheet1!L248</f>
        <v>#REF!</v>
      </c>
      <c r="J61" s="16" t="e">
        <f>[1]Sheet1!N248</f>
        <v>#REF!</v>
      </c>
    </row>
    <row r="62" spans="1:10" s="17" customFormat="1" ht="15.75" hidden="1" customHeight="1">
      <c r="A62" s="65"/>
      <c r="B62" s="65"/>
      <c r="C62" s="45" t="s">
        <v>2016</v>
      </c>
      <c r="D62" s="43"/>
      <c r="E62" s="43"/>
      <c r="F62" s="43"/>
      <c r="G62" s="44" t="e">
        <f t="shared" si="3"/>
        <v>#REF!</v>
      </c>
      <c r="H62" s="112">
        <f>TB!J251</f>
        <v>0</v>
      </c>
      <c r="I62" s="55" t="e">
        <f>[1]Sheet1!L249</f>
        <v>#REF!</v>
      </c>
      <c r="J62" s="16" t="e">
        <f>[1]Sheet1!N249</f>
        <v>#REF!</v>
      </c>
    </row>
    <row r="63" spans="1:10" s="17" customFormat="1" ht="15.75" hidden="1" customHeight="1">
      <c r="A63" s="65"/>
      <c r="B63" s="65"/>
      <c r="C63" s="45" t="s">
        <v>2018</v>
      </c>
      <c r="D63" s="43"/>
      <c r="E63" s="43"/>
      <c r="F63" s="43"/>
      <c r="G63" s="44" t="e">
        <f t="shared" si="3"/>
        <v>#REF!</v>
      </c>
      <c r="H63" s="112">
        <f>TB!J252</f>
        <v>0</v>
      </c>
      <c r="I63" s="55" t="e">
        <f>[1]Sheet1!L250</f>
        <v>#REF!</v>
      </c>
      <c r="J63" s="16" t="e">
        <f>[1]Sheet1!N250</f>
        <v>#REF!</v>
      </c>
    </row>
    <row r="64" spans="1:10" s="17" customFormat="1" ht="15.75" hidden="1" customHeight="1">
      <c r="A64" s="65"/>
      <c r="B64" s="65"/>
      <c r="C64" s="45" t="s">
        <v>1251</v>
      </c>
      <c r="D64" s="43"/>
      <c r="E64" s="43"/>
      <c r="F64" s="43"/>
      <c r="G64" s="44" t="e">
        <f t="shared" si="3"/>
        <v>#REF!</v>
      </c>
      <c r="H64" s="112">
        <f>TB!J253</f>
        <v>0</v>
      </c>
      <c r="I64" s="55" t="e">
        <f>[1]Sheet1!L251</f>
        <v>#REF!</v>
      </c>
      <c r="J64" s="16" t="e">
        <f>[1]Sheet1!N251</f>
        <v>#REF!</v>
      </c>
    </row>
    <row r="65" spans="1:10" s="17" customFormat="1" ht="15.75" hidden="1" customHeight="1">
      <c r="A65" s="65"/>
      <c r="B65" s="65"/>
      <c r="C65" s="45" t="s">
        <v>1253</v>
      </c>
      <c r="D65" s="43"/>
      <c r="E65" s="43"/>
      <c r="F65" s="43"/>
      <c r="G65" s="44" t="e">
        <f t="shared" si="3"/>
        <v>#REF!</v>
      </c>
      <c r="H65" s="112">
        <f>TB!J254</f>
        <v>0</v>
      </c>
      <c r="I65" s="55" t="e">
        <f>[1]Sheet1!L252</f>
        <v>#REF!</v>
      </c>
      <c r="J65" s="16" t="e">
        <f>[1]Sheet1!N252</f>
        <v>#REF!</v>
      </c>
    </row>
    <row r="66" spans="1:10" s="17" customFormat="1" ht="15.75" hidden="1" customHeight="1">
      <c r="A66" s="65"/>
      <c r="B66" s="65"/>
      <c r="C66" s="45" t="s">
        <v>1255</v>
      </c>
      <c r="D66" s="43"/>
      <c r="E66" s="43"/>
      <c r="F66" s="43"/>
      <c r="G66" s="44" t="e">
        <f t="shared" si="3"/>
        <v>#REF!</v>
      </c>
      <c r="H66" s="112">
        <f>TB!J255</f>
        <v>0</v>
      </c>
      <c r="I66" s="55" t="e">
        <f>[1]Sheet1!L253</f>
        <v>#REF!</v>
      </c>
      <c r="J66" s="16" t="e">
        <f>[1]Sheet1!N253</f>
        <v>#REF!</v>
      </c>
    </row>
    <row r="67" spans="1:10" s="17" customFormat="1" ht="15.75" customHeight="1">
      <c r="A67" s="65"/>
      <c r="B67" s="65"/>
      <c r="C67" s="45" t="s">
        <v>1257</v>
      </c>
      <c r="D67" s="43"/>
      <c r="E67" s="43"/>
      <c r="F67" s="43"/>
      <c r="G67" s="44" t="e">
        <f t="shared" si="3"/>
        <v>#REF!</v>
      </c>
      <c r="H67" s="112">
        <f>TB!J256</f>
        <v>0</v>
      </c>
      <c r="I67" s="55" t="e">
        <f>[1]Sheet1!L254</f>
        <v>#REF!</v>
      </c>
      <c r="J67" s="16" t="e">
        <f>[1]Sheet1!N254</f>
        <v>#REF!</v>
      </c>
    </row>
    <row r="68" spans="1:10" s="17" customFormat="1" ht="15.75" hidden="1" customHeight="1">
      <c r="A68" s="65"/>
      <c r="B68" s="65"/>
      <c r="C68" s="45" t="s">
        <v>1259</v>
      </c>
      <c r="D68" s="43"/>
      <c r="E68" s="43"/>
      <c r="F68" s="43"/>
      <c r="G68" s="44"/>
      <c r="H68" s="112">
        <f>TB!J257</f>
        <v>0</v>
      </c>
      <c r="I68" s="55"/>
      <c r="J68" s="16"/>
    </row>
    <row r="69" spans="1:10" s="17" customFormat="1" ht="15.75" hidden="1" customHeight="1">
      <c r="A69" s="65"/>
      <c r="B69" s="65"/>
      <c r="C69" s="45" t="s">
        <v>1261</v>
      </c>
      <c r="D69" s="43"/>
      <c r="E69" s="43"/>
      <c r="F69" s="43"/>
      <c r="G69" s="44" t="e">
        <f t="shared" ref="G69:G75" si="4">SUM(H69:J69)</f>
        <v>#REF!</v>
      </c>
      <c r="H69" s="112">
        <f>TB!J258</f>
        <v>0</v>
      </c>
      <c r="I69" s="55" t="e">
        <f>[1]Sheet1!L256</f>
        <v>#REF!</v>
      </c>
      <c r="J69" s="16" t="e">
        <f>[1]Sheet1!N256</f>
        <v>#REF!</v>
      </c>
    </row>
    <row r="70" spans="1:10" s="17" customFormat="1" ht="15.75" hidden="1" customHeight="1">
      <c r="A70" s="65"/>
      <c r="B70" s="65"/>
      <c r="C70" s="45" t="s">
        <v>1399</v>
      </c>
      <c r="D70" s="43"/>
      <c r="E70" s="43"/>
      <c r="F70" s="43"/>
      <c r="G70" s="44"/>
      <c r="H70" s="112">
        <f>TB!J261</f>
        <v>0</v>
      </c>
      <c r="I70" s="55"/>
      <c r="J70" s="16"/>
    </row>
    <row r="71" spans="1:10" s="17" customFormat="1" ht="15.75" customHeight="1">
      <c r="A71" s="65"/>
      <c r="B71" s="65"/>
      <c r="C71" s="45" t="s">
        <v>1263</v>
      </c>
      <c r="D71" s="43"/>
      <c r="E71" s="43"/>
      <c r="F71" s="43"/>
      <c r="G71" s="44" t="e">
        <f t="shared" si="4"/>
        <v>#REF!</v>
      </c>
      <c r="H71" s="112">
        <f>TB!J259</f>
        <v>0</v>
      </c>
      <c r="I71" s="55" t="e">
        <f>[1]Sheet1!L257</f>
        <v>#REF!</v>
      </c>
      <c r="J71" s="16" t="e">
        <f>[1]Sheet1!N257</f>
        <v>#REF!</v>
      </c>
    </row>
    <row r="72" spans="1:10" s="17" customFormat="1" ht="15.75" hidden="1" customHeight="1">
      <c r="A72" s="65"/>
      <c r="B72" s="65"/>
      <c r="C72" s="45" t="s">
        <v>1265</v>
      </c>
      <c r="D72" s="43"/>
      <c r="E72" s="43"/>
      <c r="F72" s="43"/>
      <c r="G72" s="44" t="e">
        <f t="shared" si="4"/>
        <v>#REF!</v>
      </c>
      <c r="H72" s="112">
        <f>TB!J260</f>
        <v>0</v>
      </c>
      <c r="I72" s="55" t="e">
        <f>[1]Sheet1!L258</f>
        <v>#REF!</v>
      </c>
      <c r="J72" s="16" t="e">
        <f>[1]Sheet1!N258</f>
        <v>#REF!</v>
      </c>
    </row>
    <row r="73" spans="1:10" s="17" customFormat="1" ht="15.75" hidden="1" customHeight="1">
      <c r="A73" s="65"/>
      <c r="B73" s="65"/>
      <c r="C73" s="45" t="s">
        <v>1259</v>
      </c>
      <c r="D73" s="43"/>
      <c r="E73" s="43"/>
      <c r="F73" s="43"/>
      <c r="G73" s="44" t="e">
        <f t="shared" si="4"/>
        <v>#REF!</v>
      </c>
      <c r="H73" s="112">
        <f>TB!J257</f>
        <v>0</v>
      </c>
      <c r="I73" s="55" t="e">
        <f>[1]Sheet1!L255</f>
        <v>#REF!</v>
      </c>
      <c r="J73" s="16" t="e">
        <f>[1]Sheet1!N255</f>
        <v>#REF!</v>
      </c>
    </row>
    <row r="74" spans="1:10" s="17" customFormat="1" ht="15.75" hidden="1" customHeight="1">
      <c r="A74" s="65"/>
      <c r="B74" s="65"/>
      <c r="C74" s="88" t="s">
        <v>1400</v>
      </c>
      <c r="D74" s="89"/>
      <c r="E74" s="43"/>
      <c r="F74" s="43"/>
      <c r="G74" s="44" t="e">
        <f t="shared" si="4"/>
        <v>#REF!</v>
      </c>
      <c r="H74" s="112">
        <f>TB!J200</f>
        <v>0</v>
      </c>
      <c r="I74" s="55" t="e">
        <f>[1]Sheet1!L199</f>
        <v>#REF!</v>
      </c>
      <c r="J74" s="16" t="e">
        <f>[1]Sheet1!N199</f>
        <v>#REF!</v>
      </c>
    </row>
    <row r="75" spans="1:10" s="17" customFormat="1" ht="15.75" hidden="1" customHeight="1">
      <c r="A75" s="65"/>
      <c r="B75" s="65"/>
      <c r="C75" s="45" t="s">
        <v>1401</v>
      </c>
      <c r="D75" s="43"/>
      <c r="E75" s="43"/>
      <c r="F75" s="43"/>
      <c r="G75" s="44" t="e">
        <f t="shared" si="4"/>
        <v>#REF!</v>
      </c>
      <c r="H75" s="112">
        <f>+H73-H74</f>
        <v>0</v>
      </c>
      <c r="I75" s="55" t="e">
        <f>+I73-I74</f>
        <v>#REF!</v>
      </c>
      <c r="J75" s="16" t="e">
        <f>+J73-J74</f>
        <v>#REF!</v>
      </c>
    </row>
    <row r="76" spans="1:10" s="21" customFormat="1" ht="15.75" customHeight="1">
      <c r="A76" s="65"/>
      <c r="B76" s="65" t="s">
        <v>1402</v>
      </c>
      <c r="C76" s="43"/>
      <c r="D76" s="43"/>
      <c r="E76" s="43"/>
      <c r="F76" s="45"/>
      <c r="G76" s="72" t="e">
        <f>SUM(G77:G89)</f>
        <v>#REF!</v>
      </c>
      <c r="H76" s="113">
        <f>SUM(H77:H89)</f>
        <v>0</v>
      </c>
      <c r="I76" s="57" t="e">
        <f>SUM(I77:I89)</f>
        <v>#REF!</v>
      </c>
      <c r="J76" s="18" t="e">
        <f>SUM(J77:J89)</f>
        <v>#REF!</v>
      </c>
    </row>
    <row r="77" spans="1:10" s="17" customFormat="1" ht="15.75" hidden="1" customHeight="1">
      <c r="A77" s="65"/>
      <c r="B77" s="65"/>
      <c r="C77" s="45" t="s">
        <v>1273</v>
      </c>
      <c r="D77" s="43"/>
      <c r="E77" s="43"/>
      <c r="F77" s="43"/>
      <c r="G77" s="44" t="e">
        <f t="shared" ref="G77:G89" si="5">SUM(H77:J77)</f>
        <v>#REF!</v>
      </c>
      <c r="H77" s="112">
        <f>TB!J264</f>
        <v>0</v>
      </c>
      <c r="I77" s="55" t="e">
        <f>[1]Sheet1!L262</f>
        <v>#REF!</v>
      </c>
      <c r="J77" s="16" t="e">
        <f>[1]Sheet1!N262</f>
        <v>#REF!</v>
      </c>
    </row>
    <row r="78" spans="1:10" s="17" customFormat="1" ht="15.75" customHeight="1">
      <c r="A78" s="65"/>
      <c r="B78" s="65"/>
      <c r="C78" s="45" t="s">
        <v>1275</v>
      </c>
      <c r="D78" s="43"/>
      <c r="E78" s="43"/>
      <c r="F78" s="43"/>
      <c r="G78" s="44" t="e">
        <f t="shared" si="5"/>
        <v>#REF!</v>
      </c>
      <c r="H78" s="112">
        <f>TB!J265</f>
        <v>0</v>
      </c>
      <c r="I78" s="55" t="e">
        <f>[1]Sheet1!L263</f>
        <v>#REF!</v>
      </c>
      <c r="J78" s="16" t="e">
        <f>[1]Sheet1!N263</f>
        <v>#REF!</v>
      </c>
    </row>
    <row r="79" spans="1:10" s="17" customFormat="1" ht="15.75" hidden="1" customHeight="1">
      <c r="A79" s="65"/>
      <c r="B79" s="65"/>
      <c r="C79" s="45" t="s">
        <v>1277</v>
      </c>
      <c r="D79" s="43"/>
      <c r="E79" s="43"/>
      <c r="F79" s="43"/>
      <c r="G79" s="44" t="e">
        <f t="shared" si="5"/>
        <v>#REF!</v>
      </c>
      <c r="H79" s="112">
        <f>TB!J266</f>
        <v>0</v>
      </c>
      <c r="I79" s="55" t="e">
        <f>[1]Sheet1!L264</f>
        <v>#REF!</v>
      </c>
      <c r="J79" s="16" t="e">
        <f>[1]Sheet1!N264</f>
        <v>#REF!</v>
      </c>
    </row>
    <row r="80" spans="1:10" s="17" customFormat="1" ht="15.75" customHeight="1">
      <c r="A80" s="65"/>
      <c r="B80" s="65"/>
      <c r="C80" s="45" t="s">
        <v>1279</v>
      </c>
      <c r="D80" s="43"/>
      <c r="E80" s="43"/>
      <c r="F80" s="43"/>
      <c r="G80" s="44" t="e">
        <f t="shared" si="5"/>
        <v>#REF!</v>
      </c>
      <c r="H80" s="112">
        <f>TB!J267</f>
        <v>0</v>
      </c>
      <c r="I80" s="55" t="e">
        <f>[1]Sheet1!L265</f>
        <v>#REF!</v>
      </c>
      <c r="J80" s="16" t="e">
        <f>[1]Sheet1!N265</f>
        <v>#REF!</v>
      </c>
    </row>
    <row r="81" spans="1:10" s="17" customFormat="1" ht="15.75" customHeight="1">
      <c r="A81" s="65"/>
      <c r="B81" s="65"/>
      <c r="C81" s="45" t="s">
        <v>1281</v>
      </c>
      <c r="D81" s="43"/>
      <c r="E81" s="43"/>
      <c r="F81" s="43"/>
      <c r="G81" s="44" t="e">
        <f t="shared" si="5"/>
        <v>#REF!</v>
      </c>
      <c r="H81" s="112">
        <f>TB!J268</f>
        <v>0</v>
      </c>
      <c r="I81" s="55" t="e">
        <f>[1]Sheet1!L266</f>
        <v>#REF!</v>
      </c>
      <c r="J81" s="16" t="e">
        <f>[1]Sheet1!N266</f>
        <v>#REF!</v>
      </c>
    </row>
    <row r="82" spans="1:10" s="17" customFormat="1" ht="15.75" hidden="1" customHeight="1">
      <c r="A82" s="65"/>
      <c r="B82" s="65"/>
      <c r="C82" s="45" t="s">
        <v>1283</v>
      </c>
      <c r="D82" s="43"/>
      <c r="E82" s="43"/>
      <c r="F82" s="43"/>
      <c r="G82" s="44" t="e">
        <f t="shared" si="5"/>
        <v>#REF!</v>
      </c>
      <c r="H82" s="112">
        <f>TB!J269</f>
        <v>0</v>
      </c>
      <c r="I82" s="55" t="e">
        <f>[1]Sheet1!L267</f>
        <v>#REF!</v>
      </c>
      <c r="J82" s="16" t="e">
        <f>[1]Sheet1!N267</f>
        <v>#REF!</v>
      </c>
    </row>
    <row r="83" spans="1:10" s="17" customFormat="1" ht="15.75" hidden="1" customHeight="1">
      <c r="A83" s="65"/>
      <c r="B83" s="65"/>
      <c r="C83" s="45" t="s">
        <v>1285</v>
      </c>
      <c r="D83" s="43"/>
      <c r="E83" s="43"/>
      <c r="F83" s="43"/>
      <c r="G83" s="44" t="e">
        <f t="shared" si="5"/>
        <v>#REF!</v>
      </c>
      <c r="H83" s="112">
        <f>TB!J270</f>
        <v>0</v>
      </c>
      <c r="I83" s="55" t="e">
        <f>[1]Sheet1!L268</f>
        <v>#REF!</v>
      </c>
      <c r="J83" s="16" t="e">
        <f>[1]Sheet1!N268</f>
        <v>#REF!</v>
      </c>
    </row>
    <row r="84" spans="1:10" s="17" customFormat="1" ht="15.75" hidden="1" customHeight="1">
      <c r="A84" s="65"/>
      <c r="B84" s="65"/>
      <c r="C84" s="45" t="s">
        <v>1287</v>
      </c>
      <c r="D84" s="43"/>
      <c r="E84" s="43"/>
      <c r="F84" s="43"/>
      <c r="G84" s="44" t="e">
        <f t="shared" si="5"/>
        <v>#REF!</v>
      </c>
      <c r="H84" s="112">
        <f>TB!J271</f>
        <v>0</v>
      </c>
      <c r="I84" s="55" t="e">
        <f>[1]Sheet1!L269</f>
        <v>#REF!</v>
      </c>
      <c r="J84" s="16" t="e">
        <f>[1]Sheet1!N269</f>
        <v>#REF!</v>
      </c>
    </row>
    <row r="85" spans="1:10" s="17" customFormat="1" ht="15.75" customHeight="1">
      <c r="A85" s="65"/>
      <c r="B85" s="65"/>
      <c r="C85" s="45" t="s">
        <v>1289</v>
      </c>
      <c r="D85" s="43"/>
      <c r="E85" s="43"/>
      <c r="F85" s="43"/>
      <c r="G85" s="44" t="e">
        <f t="shared" si="5"/>
        <v>#REF!</v>
      </c>
      <c r="H85" s="112">
        <f>TB!J272</f>
        <v>0</v>
      </c>
      <c r="I85" s="55" t="e">
        <f>[1]Sheet1!L270</f>
        <v>#REF!</v>
      </c>
      <c r="J85" s="16" t="e">
        <f>[1]Sheet1!N270</f>
        <v>#REF!</v>
      </c>
    </row>
    <row r="86" spans="1:10" s="17" customFormat="1" ht="15.75" hidden="1" customHeight="1">
      <c r="A86" s="65"/>
      <c r="B86" s="65"/>
      <c r="C86" s="45" t="s">
        <v>1291</v>
      </c>
      <c r="D86" s="43"/>
      <c r="E86" s="43"/>
      <c r="F86" s="43"/>
      <c r="G86" s="44" t="e">
        <f t="shared" si="5"/>
        <v>#REF!</v>
      </c>
      <c r="H86" s="112">
        <f>TB!J273</f>
        <v>0</v>
      </c>
      <c r="I86" s="55" t="e">
        <f>[1]Sheet1!L271</f>
        <v>#REF!</v>
      </c>
      <c r="J86" s="16" t="e">
        <f>[1]Sheet1!N271</f>
        <v>#REF!</v>
      </c>
    </row>
    <row r="87" spans="1:10" s="17" customFormat="1" ht="15.75" hidden="1" customHeight="1">
      <c r="A87" s="65"/>
      <c r="B87" s="65"/>
      <c r="C87" s="45" t="s">
        <v>1293</v>
      </c>
      <c r="D87" s="43"/>
      <c r="E87" s="43"/>
      <c r="F87" s="43"/>
      <c r="G87" s="44" t="e">
        <f t="shared" si="5"/>
        <v>#REF!</v>
      </c>
      <c r="H87" s="112">
        <f>TB!J274</f>
        <v>0</v>
      </c>
      <c r="I87" s="55" t="e">
        <f>[1]Sheet1!L272</f>
        <v>#REF!</v>
      </c>
      <c r="J87" s="16" t="e">
        <f>[1]Sheet1!N272</f>
        <v>#REF!</v>
      </c>
    </row>
    <row r="88" spans="1:10" s="17" customFormat="1" ht="15.75" customHeight="1">
      <c r="A88" s="65"/>
      <c r="B88" s="65"/>
      <c r="C88" s="45" t="s">
        <v>684</v>
      </c>
      <c r="D88" s="43"/>
      <c r="E88" s="43"/>
      <c r="F88" s="43"/>
      <c r="G88" s="44" t="e">
        <f t="shared" si="5"/>
        <v>#REF!</v>
      </c>
      <c r="H88" s="112">
        <f>TB!J275</f>
        <v>0</v>
      </c>
      <c r="I88" s="55" t="e">
        <f>[1]Sheet1!L273</f>
        <v>#REF!</v>
      </c>
      <c r="J88" s="16" t="e">
        <f>[1]Sheet1!N273</f>
        <v>#REF!</v>
      </c>
    </row>
    <row r="89" spans="1:10" s="17" customFormat="1" ht="15.75" hidden="1" customHeight="1">
      <c r="A89" s="65"/>
      <c r="B89" s="65"/>
      <c r="C89" s="45" t="s">
        <v>686</v>
      </c>
      <c r="D89" s="43"/>
      <c r="E89" s="43"/>
      <c r="F89" s="43"/>
      <c r="G89" s="44" t="e">
        <f t="shared" si="5"/>
        <v>#REF!</v>
      </c>
      <c r="H89" s="112">
        <f>TB!J276</f>
        <v>0</v>
      </c>
      <c r="I89" s="55" t="e">
        <f>[1]Sheet1!L274</f>
        <v>#REF!</v>
      </c>
      <c r="J89" s="16" t="e">
        <f>[1]Sheet1!N274</f>
        <v>#REF!</v>
      </c>
    </row>
    <row r="90" spans="1:10" s="25" customFormat="1" ht="15.75" customHeight="1">
      <c r="A90" s="65" t="s">
        <v>1403</v>
      </c>
      <c r="B90" s="65"/>
      <c r="C90" s="43"/>
      <c r="D90" s="43"/>
      <c r="E90" s="43"/>
      <c r="F90" s="69"/>
      <c r="G90" s="67" t="e">
        <f>+G28+G11</f>
        <v>#REF!</v>
      </c>
      <c r="H90" s="111">
        <f>+H28+H11</f>
        <v>0</v>
      </c>
      <c r="I90" s="54" t="e">
        <f>+I28+I11</f>
        <v>#REF!</v>
      </c>
      <c r="J90" s="15" t="e">
        <f>+J28+J11</f>
        <v>#REF!</v>
      </c>
    </row>
    <row r="91" spans="1:10" s="25" customFormat="1" ht="15.75" customHeight="1">
      <c r="A91" s="65" t="s">
        <v>1404</v>
      </c>
      <c r="B91" s="65"/>
      <c r="C91" s="43"/>
      <c r="D91" s="43"/>
      <c r="E91" s="43"/>
      <c r="F91" s="69"/>
      <c r="G91" s="67"/>
      <c r="H91" s="111"/>
      <c r="I91" s="54"/>
      <c r="J91" s="15"/>
    </row>
    <row r="92" spans="1:10" s="25" customFormat="1" ht="15.75" customHeight="1">
      <c r="A92" s="65"/>
      <c r="B92" s="65" t="s">
        <v>1405</v>
      </c>
      <c r="C92" s="43"/>
      <c r="D92" s="43"/>
      <c r="E92" s="43"/>
      <c r="F92" s="69"/>
      <c r="G92" s="67" t="e">
        <f>+G93+G101+G117+G122</f>
        <v>#REF!</v>
      </c>
      <c r="H92" s="111">
        <f>+H93+H101+H117+H122</f>
        <v>0</v>
      </c>
      <c r="I92" s="54" t="e">
        <f>+I93+I101+I117+I122</f>
        <v>#REF!</v>
      </c>
      <c r="J92" s="15" t="e">
        <f>+J93+J101+J117+J122</f>
        <v>#REF!</v>
      </c>
    </row>
    <row r="93" spans="1:10" s="14" customFormat="1" ht="15.75" customHeight="1">
      <c r="A93" s="65"/>
      <c r="B93" s="65"/>
      <c r="C93" s="43" t="s">
        <v>1406</v>
      </c>
      <c r="D93" s="43"/>
      <c r="E93" s="43"/>
      <c r="F93" s="69"/>
      <c r="G93" s="67" t="e">
        <f>SUM(G94:G100)</f>
        <v>#REF!</v>
      </c>
      <c r="H93" s="111">
        <f>SUM(H94:H100)</f>
        <v>0</v>
      </c>
      <c r="I93" s="54" t="e">
        <f>SUM(I94:I100)</f>
        <v>#REF!</v>
      </c>
      <c r="J93" s="15" t="e">
        <f>SUM(J94:J100)</f>
        <v>#REF!</v>
      </c>
    </row>
    <row r="94" spans="1:10" s="17" customFormat="1" ht="15.75" customHeight="1">
      <c r="A94" s="65"/>
      <c r="B94" s="65"/>
      <c r="C94" s="43"/>
      <c r="D94" s="45" t="s">
        <v>649</v>
      </c>
      <c r="E94" s="43"/>
      <c r="F94" s="43"/>
      <c r="G94" s="44" t="e">
        <f t="shared" ref="G94:G100" si="6">SUM(H94:J94)</f>
        <v>#REF!</v>
      </c>
      <c r="H94" s="112">
        <f>TB!G281</f>
        <v>0</v>
      </c>
      <c r="I94" s="55" t="e">
        <f>[1]Sheet1!K279</f>
        <v>#REF!</v>
      </c>
      <c r="J94" s="16" t="e">
        <f>[1]Sheet1!M279</f>
        <v>#REF!</v>
      </c>
    </row>
    <row r="95" spans="1:10" s="17" customFormat="1" ht="15.75" hidden="1" customHeight="1">
      <c r="A95" s="65"/>
      <c r="B95" s="65"/>
      <c r="C95" s="43"/>
      <c r="D95" s="45" t="s">
        <v>738</v>
      </c>
      <c r="E95" s="43"/>
      <c r="F95" s="43"/>
      <c r="G95" s="44" t="e">
        <f t="shared" si="6"/>
        <v>#REF!</v>
      </c>
      <c r="H95" s="112">
        <f>TB!G282</f>
        <v>0</v>
      </c>
      <c r="I95" s="55" t="e">
        <f>[1]Sheet1!K280</f>
        <v>#REF!</v>
      </c>
      <c r="J95" s="16" t="e">
        <f>[1]Sheet1!M280</f>
        <v>#REF!</v>
      </c>
    </row>
    <row r="96" spans="1:10" s="17" customFormat="1" ht="15.75" hidden="1" customHeight="1">
      <c r="A96" s="65"/>
      <c r="B96" s="65"/>
      <c r="C96" s="43"/>
      <c r="D96" s="45" t="s">
        <v>740</v>
      </c>
      <c r="E96" s="43"/>
      <c r="F96" s="43"/>
      <c r="G96" s="44" t="e">
        <f t="shared" si="6"/>
        <v>#REF!</v>
      </c>
      <c r="H96" s="112">
        <f>TB!G283</f>
        <v>0</v>
      </c>
      <c r="I96" s="55" t="e">
        <f>[1]Sheet1!K281</f>
        <v>#REF!</v>
      </c>
      <c r="J96" s="16" t="e">
        <f>[1]Sheet1!M281</f>
        <v>#REF!</v>
      </c>
    </row>
    <row r="97" spans="1:10" s="17" customFormat="1" ht="15.75" hidden="1" customHeight="1">
      <c r="A97" s="65"/>
      <c r="B97" s="65"/>
      <c r="C97" s="43"/>
      <c r="D97" s="45" t="s">
        <v>742</v>
      </c>
      <c r="E97" s="43"/>
      <c r="F97" s="43"/>
      <c r="G97" s="44" t="e">
        <f t="shared" si="6"/>
        <v>#REF!</v>
      </c>
      <c r="H97" s="112">
        <f>TB!G284</f>
        <v>0</v>
      </c>
      <c r="I97" s="55" t="e">
        <f>[1]Sheet1!K282</f>
        <v>#REF!</v>
      </c>
      <c r="J97" s="16" t="e">
        <f>[1]Sheet1!M282</f>
        <v>#REF!</v>
      </c>
    </row>
    <row r="98" spans="1:10" s="17" customFormat="1" ht="15.75" customHeight="1">
      <c r="A98" s="65"/>
      <c r="B98" s="65"/>
      <c r="C98" s="43"/>
      <c r="D98" s="45" t="s">
        <v>744</v>
      </c>
      <c r="E98" s="43"/>
      <c r="F98" s="43"/>
      <c r="G98" s="44" t="e">
        <f t="shared" si="6"/>
        <v>#REF!</v>
      </c>
      <c r="H98" s="112">
        <f>TB!G285</f>
        <v>0</v>
      </c>
      <c r="I98" s="55" t="e">
        <f>[1]Sheet1!K283</f>
        <v>#REF!</v>
      </c>
      <c r="J98" s="16" t="e">
        <f>[1]Sheet1!M283</f>
        <v>#REF!</v>
      </c>
    </row>
    <row r="99" spans="1:10" s="17" customFormat="1" ht="15.75" customHeight="1">
      <c r="A99" s="65"/>
      <c r="B99" s="65"/>
      <c r="C99" s="43"/>
      <c r="D99" s="45" t="s">
        <v>746</v>
      </c>
      <c r="E99" s="43"/>
      <c r="F99" s="43"/>
      <c r="G99" s="44" t="e">
        <f t="shared" si="6"/>
        <v>#REF!</v>
      </c>
      <c r="H99" s="112">
        <f>TB!G286</f>
        <v>0</v>
      </c>
      <c r="I99" s="55" t="e">
        <f>[1]Sheet1!K284</f>
        <v>#REF!</v>
      </c>
      <c r="J99" s="16" t="e">
        <f>[1]Sheet1!M284</f>
        <v>#REF!</v>
      </c>
    </row>
    <row r="100" spans="1:10" s="17" customFormat="1" ht="15.75" hidden="1" customHeight="1">
      <c r="A100" s="65"/>
      <c r="B100" s="65"/>
      <c r="C100" s="43"/>
      <c r="D100" s="45" t="s">
        <v>748</v>
      </c>
      <c r="E100" s="43"/>
      <c r="F100" s="43"/>
      <c r="G100" s="44" t="e">
        <f t="shared" si="6"/>
        <v>#REF!</v>
      </c>
      <c r="H100" s="112">
        <f>TB!G287</f>
        <v>0</v>
      </c>
      <c r="I100" s="55" t="e">
        <f>[1]Sheet1!K285</f>
        <v>#REF!</v>
      </c>
      <c r="J100" s="16" t="e">
        <f>[1]Sheet1!M285</f>
        <v>#REF!</v>
      </c>
    </row>
    <row r="101" spans="1:10" s="14" customFormat="1" ht="15.75" customHeight="1">
      <c r="A101" s="65"/>
      <c r="B101" s="65"/>
      <c r="C101" s="43" t="s">
        <v>670</v>
      </c>
      <c r="D101" s="43"/>
      <c r="E101" s="43"/>
      <c r="F101" s="69"/>
      <c r="G101" s="72" t="e">
        <f>SUM(G102:G116)</f>
        <v>#REF!</v>
      </c>
      <c r="H101" s="113">
        <f>SUM(H102:H116)</f>
        <v>0</v>
      </c>
      <c r="I101" s="57" t="e">
        <f>SUM(I102:I116)</f>
        <v>#REF!</v>
      </c>
      <c r="J101" s="18" t="e">
        <f>SUM(J102:J116)</f>
        <v>#REF!</v>
      </c>
    </row>
    <row r="102" spans="1:10" s="17" customFormat="1" ht="15.75" customHeight="1">
      <c r="A102" s="65"/>
      <c r="B102" s="65"/>
      <c r="C102" s="43"/>
      <c r="D102" s="45" t="s">
        <v>750</v>
      </c>
      <c r="E102" s="43"/>
      <c r="F102" s="43"/>
      <c r="G102" s="44" t="e">
        <f t="shared" ref="G102:G116" si="7">SUM(H102:J102)</f>
        <v>#REF!</v>
      </c>
      <c r="H102" s="112">
        <f>TB!G288</f>
        <v>0</v>
      </c>
      <c r="I102" s="55" t="e">
        <f>[1]Sheet1!K286</f>
        <v>#REF!</v>
      </c>
      <c r="J102" s="16" t="e">
        <f>[1]Sheet1!M286</f>
        <v>#REF!</v>
      </c>
    </row>
    <row r="103" spans="1:10" s="17" customFormat="1" ht="15.75" customHeight="1">
      <c r="A103" s="65"/>
      <c r="B103" s="65"/>
      <c r="C103" s="43"/>
      <c r="D103" s="45" t="s">
        <v>2120</v>
      </c>
      <c r="E103" s="43"/>
      <c r="F103" s="43"/>
      <c r="G103" s="44" t="e">
        <f t="shared" si="7"/>
        <v>#REF!</v>
      </c>
      <c r="H103" s="112">
        <f>TB!G289</f>
        <v>0</v>
      </c>
      <c r="I103" s="55" t="e">
        <f>[1]Sheet1!K287</f>
        <v>#REF!</v>
      </c>
      <c r="J103" s="16" t="e">
        <f>[1]Sheet1!M287</f>
        <v>#REF!</v>
      </c>
    </row>
    <row r="104" spans="1:10" s="17" customFormat="1" ht="15.75" customHeight="1">
      <c r="A104" s="65"/>
      <c r="B104" s="65"/>
      <c r="C104" s="43"/>
      <c r="D104" s="45" t="s">
        <v>2122</v>
      </c>
      <c r="E104" s="43"/>
      <c r="F104" s="43"/>
      <c r="G104" s="44" t="e">
        <f t="shared" si="7"/>
        <v>#REF!</v>
      </c>
      <c r="H104" s="112">
        <f>TB!G290</f>
        <v>0</v>
      </c>
      <c r="I104" s="55" t="e">
        <f>[1]Sheet1!K288</f>
        <v>#REF!</v>
      </c>
      <c r="J104" s="16" t="e">
        <f>[1]Sheet1!M288</f>
        <v>#REF!</v>
      </c>
    </row>
    <row r="105" spans="1:10" s="17" customFormat="1" ht="15.75" customHeight="1">
      <c r="A105" s="65"/>
      <c r="B105" s="65"/>
      <c r="C105" s="43"/>
      <c r="D105" s="45" t="s">
        <v>2124</v>
      </c>
      <c r="E105" s="43"/>
      <c r="F105" s="43"/>
      <c r="G105" s="44" t="e">
        <f t="shared" si="7"/>
        <v>#REF!</v>
      </c>
      <c r="H105" s="112">
        <f>TB!G291</f>
        <v>0</v>
      </c>
      <c r="I105" s="55" t="e">
        <f>[1]Sheet1!K289</f>
        <v>#REF!</v>
      </c>
      <c r="J105" s="16" t="e">
        <f>[1]Sheet1!M289</f>
        <v>#REF!</v>
      </c>
    </row>
    <row r="106" spans="1:10" s="17" customFormat="1" ht="15.75" customHeight="1">
      <c r="A106" s="65"/>
      <c r="B106" s="65"/>
      <c r="C106" s="43"/>
      <c r="D106" s="45" t="s">
        <v>2126</v>
      </c>
      <c r="E106" s="43"/>
      <c r="F106" s="43"/>
      <c r="G106" s="44" t="e">
        <f t="shared" si="7"/>
        <v>#REF!</v>
      </c>
      <c r="H106" s="112">
        <f>TB!G292</f>
        <v>0</v>
      </c>
      <c r="I106" s="55" t="e">
        <f>[1]Sheet1!K290</f>
        <v>#REF!</v>
      </c>
      <c r="J106" s="16" t="e">
        <f>[1]Sheet1!M290</f>
        <v>#REF!</v>
      </c>
    </row>
    <row r="107" spans="1:10" s="17" customFormat="1" ht="15.75" customHeight="1">
      <c r="A107" s="65"/>
      <c r="B107" s="65"/>
      <c r="C107" s="43"/>
      <c r="D107" s="45" t="s">
        <v>2369</v>
      </c>
      <c r="E107" s="43"/>
      <c r="F107" s="43"/>
      <c r="G107" s="44" t="e">
        <f t="shared" si="7"/>
        <v>#REF!</v>
      </c>
      <c r="H107" s="112">
        <f>TB!G293</f>
        <v>0</v>
      </c>
      <c r="I107" s="55" t="e">
        <f>[1]Sheet1!K291</f>
        <v>#REF!</v>
      </c>
      <c r="J107" s="16" t="e">
        <f>[1]Sheet1!M291</f>
        <v>#REF!</v>
      </c>
    </row>
    <row r="108" spans="1:10" s="17" customFormat="1" ht="15.75" hidden="1" customHeight="1">
      <c r="A108" s="65"/>
      <c r="B108" s="65"/>
      <c r="C108" s="43"/>
      <c r="D108" s="45" t="s">
        <v>2371</v>
      </c>
      <c r="E108" s="43"/>
      <c r="F108" s="43"/>
      <c r="G108" s="44" t="e">
        <f t="shared" si="7"/>
        <v>#REF!</v>
      </c>
      <c r="H108" s="112">
        <f>TB!G294</f>
        <v>0</v>
      </c>
      <c r="I108" s="55" t="e">
        <f>[1]Sheet1!K292</f>
        <v>#REF!</v>
      </c>
      <c r="J108" s="16" t="e">
        <f>[1]Sheet1!M292</f>
        <v>#REF!</v>
      </c>
    </row>
    <row r="109" spans="1:10" s="17" customFormat="1" ht="15.75" hidden="1" customHeight="1">
      <c r="A109" s="65"/>
      <c r="B109" s="65"/>
      <c r="C109" s="43"/>
      <c r="D109" s="45" t="s">
        <v>2373</v>
      </c>
      <c r="E109" s="43"/>
      <c r="F109" s="43"/>
      <c r="G109" s="44" t="e">
        <f t="shared" si="7"/>
        <v>#REF!</v>
      </c>
      <c r="H109" s="112">
        <f>TB!G295</f>
        <v>0</v>
      </c>
      <c r="I109" s="55" t="e">
        <f>[1]Sheet1!K293</f>
        <v>#REF!</v>
      </c>
      <c r="J109" s="16" t="e">
        <f>[1]Sheet1!M293</f>
        <v>#REF!</v>
      </c>
    </row>
    <row r="110" spans="1:10" s="17" customFormat="1" ht="15.75" hidden="1" customHeight="1">
      <c r="A110" s="65"/>
      <c r="B110" s="65"/>
      <c r="C110" s="43"/>
      <c r="D110" s="45" t="s">
        <v>948</v>
      </c>
      <c r="E110" s="43"/>
      <c r="F110" s="43"/>
      <c r="G110" s="44" t="e">
        <f t="shared" si="7"/>
        <v>#REF!</v>
      </c>
      <c r="H110" s="112">
        <f>TB!G296</f>
        <v>0</v>
      </c>
      <c r="I110" s="55" t="e">
        <f>[1]Sheet1!K294</f>
        <v>#REF!</v>
      </c>
      <c r="J110" s="16" t="e">
        <f>[1]Sheet1!M294</f>
        <v>#REF!</v>
      </c>
    </row>
    <row r="111" spans="1:10" s="17" customFormat="1" ht="15.75" customHeight="1">
      <c r="A111" s="65"/>
      <c r="B111" s="65"/>
      <c r="C111" s="43"/>
      <c r="D111" s="45" t="s">
        <v>2435</v>
      </c>
      <c r="E111" s="43"/>
      <c r="F111" s="43"/>
      <c r="G111" s="44" t="e">
        <f t="shared" si="7"/>
        <v>#REF!</v>
      </c>
      <c r="H111" s="112">
        <f>TB!G297</f>
        <v>0</v>
      </c>
      <c r="I111" s="55" t="e">
        <f>[1]Sheet1!K295</f>
        <v>#REF!</v>
      </c>
      <c r="J111" s="16" t="e">
        <f>[1]Sheet1!M295</f>
        <v>#REF!</v>
      </c>
    </row>
    <row r="112" spans="1:10" s="17" customFormat="1" ht="15.75" customHeight="1">
      <c r="A112" s="65"/>
      <c r="B112" s="65"/>
      <c r="C112" s="43"/>
      <c r="D112" s="45" t="s">
        <v>2437</v>
      </c>
      <c r="E112" s="43"/>
      <c r="F112" s="43"/>
      <c r="G112" s="44" t="e">
        <f t="shared" si="7"/>
        <v>#REF!</v>
      </c>
      <c r="H112" s="112">
        <f>TB!G298</f>
        <v>0</v>
      </c>
      <c r="I112" s="55" t="e">
        <f>[1]Sheet1!K296</f>
        <v>#REF!</v>
      </c>
      <c r="J112" s="16" t="e">
        <f>[1]Sheet1!M296</f>
        <v>#REF!</v>
      </c>
    </row>
    <row r="113" spans="1:10" s="17" customFormat="1" ht="15.75" hidden="1" customHeight="1">
      <c r="A113" s="65"/>
      <c r="B113" s="65"/>
      <c r="C113" s="43"/>
      <c r="D113" s="45" t="s">
        <v>2439</v>
      </c>
      <c r="E113" s="43"/>
      <c r="F113" s="43"/>
      <c r="G113" s="44" t="e">
        <f t="shared" si="7"/>
        <v>#REF!</v>
      </c>
      <c r="H113" s="112">
        <f>TB!G299</f>
        <v>0</v>
      </c>
      <c r="I113" s="55" t="e">
        <f>[1]Sheet1!K297</f>
        <v>#REF!</v>
      </c>
      <c r="J113" s="16" t="e">
        <f>[1]Sheet1!M297</f>
        <v>#REF!</v>
      </c>
    </row>
    <row r="114" spans="1:10" s="17" customFormat="1" ht="15.75" customHeight="1">
      <c r="A114" s="65"/>
      <c r="B114" s="65"/>
      <c r="C114" s="43"/>
      <c r="D114" s="45" t="s">
        <v>2441</v>
      </c>
      <c r="E114" s="43"/>
      <c r="F114" s="43"/>
      <c r="G114" s="44" t="e">
        <f t="shared" si="7"/>
        <v>#REF!</v>
      </c>
      <c r="H114" s="112">
        <f>TB!G300</f>
        <v>0</v>
      </c>
      <c r="I114" s="55" t="e">
        <f>[1]Sheet1!K298</f>
        <v>#REF!</v>
      </c>
      <c r="J114" s="16" t="e">
        <f>[1]Sheet1!M298</f>
        <v>#REF!</v>
      </c>
    </row>
    <row r="115" spans="1:10" s="17" customFormat="1" ht="15.75" hidden="1" customHeight="1">
      <c r="A115" s="65"/>
      <c r="B115" s="65"/>
      <c r="C115" s="43"/>
      <c r="D115" s="45" t="s">
        <v>99</v>
      </c>
      <c r="E115" s="43"/>
      <c r="F115" s="43"/>
      <c r="G115" s="44" t="e">
        <f t="shared" si="7"/>
        <v>#REF!</v>
      </c>
      <c r="H115" s="112">
        <f>TB!G301</f>
        <v>0</v>
      </c>
      <c r="I115" s="55" t="e">
        <f>[1]Sheet1!K299</f>
        <v>#REF!</v>
      </c>
      <c r="J115" s="16" t="e">
        <f>[1]Sheet1!M299</f>
        <v>#REF!</v>
      </c>
    </row>
    <row r="116" spans="1:10" s="17" customFormat="1" ht="15.75" hidden="1" customHeight="1">
      <c r="A116" s="65"/>
      <c r="B116" s="65"/>
      <c r="C116" s="43"/>
      <c r="D116" s="45" t="s">
        <v>101</v>
      </c>
      <c r="E116" s="43"/>
      <c r="F116" s="43"/>
      <c r="G116" s="44" t="e">
        <f t="shared" si="7"/>
        <v>#REF!</v>
      </c>
      <c r="H116" s="112">
        <f>TB!G302</f>
        <v>0</v>
      </c>
      <c r="I116" s="55" t="e">
        <f>[1]Sheet1!K300</f>
        <v>#REF!</v>
      </c>
      <c r="J116" s="16" t="e">
        <f>[1]Sheet1!M300</f>
        <v>#REF!</v>
      </c>
    </row>
    <row r="117" spans="1:10" s="14" customFormat="1" ht="15.75" customHeight="1">
      <c r="A117" s="65"/>
      <c r="B117" s="65"/>
      <c r="C117" s="43" t="s">
        <v>671</v>
      </c>
      <c r="D117" s="43"/>
      <c r="E117" s="43"/>
      <c r="F117" s="69"/>
      <c r="G117" s="72" t="e">
        <f>SUM(G118:G121)</f>
        <v>#REF!</v>
      </c>
      <c r="H117" s="113">
        <f>SUM(H118:H121)</f>
        <v>0</v>
      </c>
      <c r="I117" s="57" t="e">
        <f>SUM(I118:I121)</f>
        <v>#REF!</v>
      </c>
      <c r="J117" s="18" t="e">
        <f>SUM(J118:J121)</f>
        <v>#REF!</v>
      </c>
    </row>
    <row r="118" spans="1:10" s="17" customFormat="1" ht="15.75" customHeight="1">
      <c r="A118" s="65"/>
      <c r="B118" s="65"/>
      <c r="C118" s="43"/>
      <c r="D118" s="45" t="s">
        <v>103</v>
      </c>
      <c r="E118" s="43"/>
      <c r="F118" s="43"/>
      <c r="G118" s="44" t="e">
        <f>SUM(H118:J118)</f>
        <v>#REF!</v>
      </c>
      <c r="H118" s="112">
        <f>TB!G303</f>
        <v>0</v>
      </c>
      <c r="I118" s="55" t="e">
        <f>[1]Sheet1!K301</f>
        <v>#REF!</v>
      </c>
      <c r="J118" s="16" t="e">
        <f>[1]Sheet1!M301</f>
        <v>#REF!</v>
      </c>
    </row>
    <row r="119" spans="1:10" s="17" customFormat="1" ht="15.75" customHeight="1">
      <c r="A119" s="65"/>
      <c r="B119" s="65"/>
      <c r="C119" s="43"/>
      <c r="D119" s="45" t="s">
        <v>105</v>
      </c>
      <c r="E119" s="43"/>
      <c r="F119" s="43"/>
      <c r="G119" s="44" t="e">
        <f>SUM(H119:J119)</f>
        <v>#REF!</v>
      </c>
      <c r="H119" s="112">
        <f>TB!G304</f>
        <v>0</v>
      </c>
      <c r="I119" s="55" t="e">
        <f>[1]Sheet1!K302</f>
        <v>#REF!</v>
      </c>
      <c r="J119" s="16" t="e">
        <f>[1]Sheet1!M302</f>
        <v>#REF!</v>
      </c>
    </row>
    <row r="120" spans="1:10" s="17" customFormat="1" ht="15.75" customHeight="1">
      <c r="A120" s="65"/>
      <c r="B120" s="65"/>
      <c r="C120" s="43"/>
      <c r="D120" s="45" t="s">
        <v>107</v>
      </c>
      <c r="E120" s="43"/>
      <c r="F120" s="43"/>
      <c r="G120" s="44" t="e">
        <f>SUM(H120:J120)</f>
        <v>#REF!</v>
      </c>
      <c r="H120" s="112">
        <f>TB!G305</f>
        <v>0</v>
      </c>
      <c r="I120" s="55" t="e">
        <f>[1]Sheet1!K303</f>
        <v>#REF!</v>
      </c>
      <c r="J120" s="16" t="e">
        <f>[1]Sheet1!M303</f>
        <v>#REF!</v>
      </c>
    </row>
    <row r="121" spans="1:10" s="17" customFormat="1" ht="15.75" customHeight="1">
      <c r="A121" s="65"/>
      <c r="B121" s="65"/>
      <c r="C121" s="43"/>
      <c r="D121" s="45" t="s">
        <v>109</v>
      </c>
      <c r="E121" s="43"/>
      <c r="F121" s="43"/>
      <c r="G121" s="44" t="e">
        <f>SUM(H121:J121)</f>
        <v>#REF!</v>
      </c>
      <c r="H121" s="112">
        <f>TB!G306</f>
        <v>0</v>
      </c>
      <c r="I121" s="55" t="e">
        <f>[1]Sheet1!K304</f>
        <v>#REF!</v>
      </c>
      <c r="J121" s="16" t="e">
        <f>[1]Sheet1!M304</f>
        <v>#REF!</v>
      </c>
    </row>
    <row r="122" spans="1:10" s="17" customFormat="1" ht="15.75" customHeight="1">
      <c r="A122" s="65"/>
      <c r="B122" s="65"/>
      <c r="C122" s="43" t="s">
        <v>672</v>
      </c>
      <c r="D122" s="43"/>
      <c r="E122" s="43"/>
      <c r="F122" s="45"/>
      <c r="G122" s="72" t="e">
        <f>SUM(G123:G129)</f>
        <v>#REF!</v>
      </c>
      <c r="H122" s="113">
        <f>SUM(H123:H129)</f>
        <v>0</v>
      </c>
      <c r="I122" s="57" t="e">
        <f>SUM(I123:I129)</f>
        <v>#REF!</v>
      </c>
      <c r="J122" s="18" t="e">
        <f>SUM(J123:J129)</f>
        <v>#REF!</v>
      </c>
    </row>
    <row r="123" spans="1:10" s="17" customFormat="1" ht="15.75" hidden="1" customHeight="1">
      <c r="A123" s="65"/>
      <c r="B123" s="65"/>
      <c r="C123" s="43"/>
      <c r="D123" s="45" t="s">
        <v>111</v>
      </c>
      <c r="E123" s="43"/>
      <c r="F123" s="43"/>
      <c r="G123" s="44" t="e">
        <f t="shared" ref="G123:G129" si="8">SUM(H123:J123)</f>
        <v>#REF!</v>
      </c>
      <c r="H123" s="112">
        <f>TB!G307</f>
        <v>0</v>
      </c>
      <c r="I123" s="55" t="e">
        <f>[1]Sheet1!K305</f>
        <v>#REF!</v>
      </c>
      <c r="J123" s="16" t="e">
        <f>[1]Sheet1!M305</f>
        <v>#REF!</v>
      </c>
    </row>
    <row r="124" spans="1:10" s="17" customFormat="1" ht="15.75" hidden="1" customHeight="1">
      <c r="A124" s="65"/>
      <c r="B124" s="65"/>
      <c r="C124" s="43"/>
      <c r="D124" s="45" t="s">
        <v>113</v>
      </c>
      <c r="E124" s="43"/>
      <c r="F124" s="43"/>
      <c r="G124" s="44" t="e">
        <f t="shared" si="8"/>
        <v>#REF!</v>
      </c>
      <c r="H124" s="112">
        <f>TB!G308</f>
        <v>0</v>
      </c>
      <c r="I124" s="55" t="e">
        <f>[1]Sheet1!K306</f>
        <v>#REF!</v>
      </c>
      <c r="J124" s="16" t="e">
        <f>[1]Sheet1!M306</f>
        <v>#REF!</v>
      </c>
    </row>
    <row r="125" spans="1:10" s="17" customFormat="1" ht="15.75" hidden="1" customHeight="1">
      <c r="A125" s="65"/>
      <c r="B125" s="65"/>
      <c r="C125" s="43"/>
      <c r="D125" s="45" t="s">
        <v>115</v>
      </c>
      <c r="E125" s="43"/>
      <c r="F125" s="43"/>
      <c r="G125" s="44" t="e">
        <f t="shared" si="8"/>
        <v>#REF!</v>
      </c>
      <c r="H125" s="112">
        <f>TB!G309</f>
        <v>0</v>
      </c>
      <c r="I125" s="55" t="e">
        <f>[1]Sheet1!K307</f>
        <v>#REF!</v>
      </c>
      <c r="J125" s="16" t="e">
        <f>[1]Sheet1!M307</f>
        <v>#REF!</v>
      </c>
    </row>
    <row r="126" spans="1:10" s="17" customFormat="1" ht="15.75" hidden="1" customHeight="1">
      <c r="A126" s="65"/>
      <c r="B126" s="65"/>
      <c r="C126" s="43"/>
      <c r="D126" s="45" t="s">
        <v>117</v>
      </c>
      <c r="E126" s="43"/>
      <c r="F126" s="43"/>
      <c r="G126" s="44" t="e">
        <f t="shared" si="8"/>
        <v>#REF!</v>
      </c>
      <c r="H126" s="112">
        <f>TB!G310</f>
        <v>0</v>
      </c>
      <c r="I126" s="55" t="e">
        <f>[1]Sheet1!K308</f>
        <v>#REF!</v>
      </c>
      <c r="J126" s="16" t="e">
        <f>[1]Sheet1!M308</f>
        <v>#REF!</v>
      </c>
    </row>
    <row r="127" spans="1:10" s="17" customFormat="1" ht="15.75" customHeight="1">
      <c r="A127" s="65"/>
      <c r="B127" s="65"/>
      <c r="C127" s="43"/>
      <c r="D127" s="45" t="s">
        <v>119</v>
      </c>
      <c r="E127" s="43"/>
      <c r="F127" s="43"/>
      <c r="G127" s="44" t="e">
        <f t="shared" si="8"/>
        <v>#REF!</v>
      </c>
      <c r="H127" s="112">
        <f>TB!G311</f>
        <v>0</v>
      </c>
      <c r="I127" s="55" t="e">
        <f>[1]Sheet1!K309</f>
        <v>#REF!</v>
      </c>
      <c r="J127" s="16" t="e">
        <f>[1]Sheet1!M309</f>
        <v>#REF!</v>
      </c>
    </row>
    <row r="128" spans="1:10" s="17" customFormat="1" ht="15.75" hidden="1" customHeight="1">
      <c r="A128" s="65"/>
      <c r="B128" s="65"/>
      <c r="C128" s="43"/>
      <c r="D128" s="45" t="s">
        <v>121</v>
      </c>
      <c r="E128" s="43"/>
      <c r="F128" s="43"/>
      <c r="G128" s="44" t="e">
        <f t="shared" si="8"/>
        <v>#REF!</v>
      </c>
      <c r="H128" s="112">
        <f>TB!G312</f>
        <v>0</v>
      </c>
      <c r="I128" s="55" t="e">
        <f>[1]Sheet1!K310</f>
        <v>#REF!</v>
      </c>
      <c r="J128" s="16" t="e">
        <f>[1]Sheet1!M310</f>
        <v>#REF!</v>
      </c>
    </row>
    <row r="129" spans="1:10" s="17" customFormat="1" ht="15.75" customHeight="1">
      <c r="A129" s="65"/>
      <c r="B129" s="65"/>
      <c r="C129" s="43"/>
      <c r="D129" s="45" t="s">
        <v>123</v>
      </c>
      <c r="E129" s="43"/>
      <c r="F129" s="43"/>
      <c r="G129" s="44" t="e">
        <f t="shared" si="8"/>
        <v>#REF!</v>
      </c>
      <c r="H129" s="112">
        <f>TB!G313</f>
        <v>0</v>
      </c>
      <c r="I129" s="55" t="e">
        <f>[1]Sheet1!K311</f>
        <v>#REF!</v>
      </c>
      <c r="J129" s="16" t="e">
        <f>[1]Sheet1!M311</f>
        <v>#REF!</v>
      </c>
    </row>
    <row r="130" spans="1:10" s="17" customFormat="1" ht="15.75" customHeight="1">
      <c r="A130" s="65"/>
      <c r="B130" s="65" t="s">
        <v>673</v>
      </c>
      <c r="C130" s="43"/>
      <c r="D130" s="43"/>
      <c r="E130" s="43"/>
      <c r="F130" s="45"/>
      <c r="G130" s="72" t="e">
        <f>SUM(G159:G170)+G131+G134+G137+G149+G153+G179+G232+G237+G241+G292</f>
        <v>#REF!</v>
      </c>
      <c r="H130" s="113">
        <f>SUM(H159:H170)+H131+H134+H137+H149+H153+H179+H232+H237+H241+H292</f>
        <v>0</v>
      </c>
      <c r="I130" s="57" t="e">
        <f>SUM(I159:I170)+I131+I134+I137+I149+I153+I179+I232+I237+I241+I292</f>
        <v>#REF!</v>
      </c>
      <c r="J130" s="18" t="e">
        <f>SUM(J159:J170)+J131+J134+J137+J149+J153+J179+J232+J237+J241+J292</f>
        <v>#REF!</v>
      </c>
    </row>
    <row r="131" spans="1:10" s="17" customFormat="1" ht="15.75" customHeight="1">
      <c r="A131" s="65"/>
      <c r="B131" s="65"/>
      <c r="C131" s="43" t="s">
        <v>674</v>
      </c>
      <c r="D131" s="43"/>
      <c r="E131" s="43"/>
      <c r="F131" s="45"/>
      <c r="G131" s="72" t="e">
        <f>SUM(G132:G133)</f>
        <v>#REF!</v>
      </c>
      <c r="H131" s="113">
        <f>SUM(H132:H133)</f>
        <v>0</v>
      </c>
      <c r="I131" s="57" t="e">
        <f>SUM(I132:I133)</f>
        <v>#REF!</v>
      </c>
      <c r="J131" s="18" t="e">
        <f>SUM(J132:J133)</f>
        <v>#REF!</v>
      </c>
    </row>
    <row r="132" spans="1:10" s="17" customFormat="1" ht="15.75" customHeight="1">
      <c r="A132" s="65"/>
      <c r="B132" s="65"/>
      <c r="C132" s="43"/>
      <c r="D132" s="45" t="s">
        <v>2375</v>
      </c>
      <c r="E132" s="43"/>
      <c r="F132" s="43"/>
      <c r="G132" s="44" t="e">
        <f>SUM(H132:J132)</f>
        <v>#REF!</v>
      </c>
      <c r="H132" s="112">
        <f>TB!G314</f>
        <v>0</v>
      </c>
      <c r="I132" s="55" t="e">
        <f>[1]Sheet1!K312</f>
        <v>#REF!</v>
      </c>
      <c r="J132" s="16" t="e">
        <f>[1]Sheet1!M312</f>
        <v>#REF!</v>
      </c>
    </row>
    <row r="133" spans="1:10" s="17" customFormat="1" ht="15.75" hidden="1" customHeight="1">
      <c r="A133" s="65"/>
      <c r="B133" s="65"/>
      <c r="C133" s="43"/>
      <c r="D133" s="45" t="s">
        <v>2377</v>
      </c>
      <c r="E133" s="43"/>
      <c r="F133" s="43"/>
      <c r="G133" s="44" t="e">
        <f>SUM(H133:J133)</f>
        <v>#REF!</v>
      </c>
      <c r="H133" s="112">
        <f>TB!G315</f>
        <v>0</v>
      </c>
      <c r="I133" s="55" t="e">
        <f>[1]Sheet1!K313</f>
        <v>#REF!</v>
      </c>
      <c r="J133" s="16" t="e">
        <f>[1]Sheet1!M313</f>
        <v>#REF!</v>
      </c>
    </row>
    <row r="134" spans="1:10" s="17" customFormat="1" ht="15.75" customHeight="1">
      <c r="A134" s="65"/>
      <c r="B134" s="65"/>
      <c r="C134" s="43" t="s">
        <v>675</v>
      </c>
      <c r="D134" s="43"/>
      <c r="E134" s="43"/>
      <c r="F134" s="45"/>
      <c r="G134" s="72" t="e">
        <f>SUM(G135:G136)</f>
        <v>#REF!</v>
      </c>
      <c r="H134" s="113">
        <f>SUM(H135:H136)</f>
        <v>0</v>
      </c>
      <c r="I134" s="57" t="e">
        <f>SUM(I135:I136)</f>
        <v>#REF!</v>
      </c>
      <c r="J134" s="18" t="e">
        <f>SUM(J135:J136)</f>
        <v>#REF!</v>
      </c>
    </row>
    <row r="135" spans="1:10" s="17" customFormat="1" ht="15.75" customHeight="1">
      <c r="A135" s="65"/>
      <c r="B135" s="65"/>
      <c r="C135" s="43"/>
      <c r="D135" s="45" t="s">
        <v>2379</v>
      </c>
      <c r="E135" s="43"/>
      <c r="F135" s="43"/>
      <c r="G135" s="44" t="e">
        <f>SUM(H135:J135)</f>
        <v>#REF!</v>
      </c>
      <c r="H135" s="112">
        <f>TB!G316</f>
        <v>0</v>
      </c>
      <c r="I135" s="55" t="e">
        <f>[1]Sheet1!K314</f>
        <v>#REF!</v>
      </c>
      <c r="J135" s="16" t="e">
        <f>[1]Sheet1!M314</f>
        <v>#REF!</v>
      </c>
    </row>
    <row r="136" spans="1:10" s="17" customFormat="1" ht="15.75" customHeight="1">
      <c r="A136" s="65"/>
      <c r="B136" s="65"/>
      <c r="C136" s="43"/>
      <c r="D136" s="45" t="s">
        <v>2381</v>
      </c>
      <c r="E136" s="43"/>
      <c r="F136" s="43"/>
      <c r="G136" s="44" t="e">
        <f>SUM(H136:J136)</f>
        <v>#REF!</v>
      </c>
      <c r="H136" s="112">
        <f>TB!G317</f>
        <v>0</v>
      </c>
      <c r="I136" s="55" t="e">
        <f>[1]Sheet1!K315</f>
        <v>#REF!</v>
      </c>
      <c r="J136" s="16" t="e">
        <f>[1]Sheet1!M315</f>
        <v>#REF!</v>
      </c>
    </row>
    <row r="137" spans="1:10" s="17" customFormat="1" ht="15.75" customHeight="1">
      <c r="A137" s="65"/>
      <c r="B137" s="65"/>
      <c r="C137" s="43" t="s">
        <v>676</v>
      </c>
      <c r="D137" s="43"/>
      <c r="E137" s="43"/>
      <c r="F137" s="45"/>
      <c r="G137" s="72" t="e">
        <f>SUM(G138:G148)</f>
        <v>#REF!</v>
      </c>
      <c r="H137" s="113">
        <f>SUM(H138:H148)</f>
        <v>0</v>
      </c>
      <c r="I137" s="57" t="e">
        <f>SUM(I138:I148)</f>
        <v>#REF!</v>
      </c>
      <c r="J137" s="18" t="e">
        <f>SUM(J138:J148)</f>
        <v>#REF!</v>
      </c>
    </row>
    <row r="138" spans="1:10" s="17" customFormat="1" ht="15.75" customHeight="1">
      <c r="A138" s="65"/>
      <c r="B138" s="65"/>
      <c r="C138" s="43"/>
      <c r="D138" s="45" t="s">
        <v>2383</v>
      </c>
      <c r="E138" s="43"/>
      <c r="F138" s="43"/>
      <c r="G138" s="44" t="e">
        <f t="shared" ref="G138:G148" si="9">SUM(H138:J138)</f>
        <v>#REF!</v>
      </c>
      <c r="H138" s="112">
        <f>TB!G318</f>
        <v>0</v>
      </c>
      <c r="I138" s="55" t="e">
        <f>[1]Sheet1!K316</f>
        <v>#REF!</v>
      </c>
      <c r="J138" s="16" t="e">
        <f>[1]Sheet1!M316</f>
        <v>#REF!</v>
      </c>
    </row>
    <row r="139" spans="1:10" s="17" customFormat="1" ht="15.75" hidden="1" customHeight="1">
      <c r="A139" s="65"/>
      <c r="B139" s="65"/>
      <c r="C139" s="43"/>
      <c r="D139" s="45" t="s">
        <v>2385</v>
      </c>
      <c r="E139" s="43"/>
      <c r="F139" s="43"/>
      <c r="G139" s="44" t="e">
        <f t="shared" si="9"/>
        <v>#REF!</v>
      </c>
      <c r="H139" s="112">
        <f>TB!G319</f>
        <v>0</v>
      </c>
      <c r="I139" s="55" t="e">
        <f>[1]Sheet1!K317</f>
        <v>#REF!</v>
      </c>
      <c r="J139" s="16" t="e">
        <f>[1]Sheet1!M317</f>
        <v>#REF!</v>
      </c>
    </row>
    <row r="140" spans="1:10" s="17" customFormat="1" ht="15.75" customHeight="1">
      <c r="A140" s="65"/>
      <c r="B140" s="65"/>
      <c r="C140" s="43"/>
      <c r="D140" s="45" t="s">
        <v>2387</v>
      </c>
      <c r="E140" s="43"/>
      <c r="F140" s="43"/>
      <c r="G140" s="44" t="e">
        <f t="shared" si="9"/>
        <v>#REF!</v>
      </c>
      <c r="H140" s="112">
        <f>TB!G320</f>
        <v>0</v>
      </c>
      <c r="I140" s="55" t="e">
        <f>[1]Sheet1!K318</f>
        <v>#REF!</v>
      </c>
      <c r="J140" s="16" t="e">
        <f>[1]Sheet1!M318</f>
        <v>#REF!</v>
      </c>
    </row>
    <row r="141" spans="1:10" s="17" customFormat="1" ht="15.75" customHeight="1">
      <c r="A141" s="65"/>
      <c r="B141" s="65"/>
      <c r="C141" s="43"/>
      <c r="D141" s="45" t="s">
        <v>2389</v>
      </c>
      <c r="E141" s="43"/>
      <c r="F141" s="43"/>
      <c r="G141" s="44" t="e">
        <f t="shared" si="9"/>
        <v>#REF!</v>
      </c>
      <c r="H141" s="112">
        <f>TB!G321</f>
        <v>0</v>
      </c>
      <c r="I141" s="55" t="e">
        <f>[1]Sheet1!K319</f>
        <v>#REF!</v>
      </c>
      <c r="J141" s="16" t="e">
        <f>[1]Sheet1!M319</f>
        <v>#REF!</v>
      </c>
    </row>
    <row r="142" spans="1:10" s="17" customFormat="1" ht="15.75" customHeight="1">
      <c r="A142" s="65"/>
      <c r="B142" s="65"/>
      <c r="C142" s="43"/>
      <c r="D142" s="45" t="s">
        <v>2391</v>
      </c>
      <c r="E142" s="43"/>
      <c r="F142" s="43"/>
      <c r="G142" s="44" t="e">
        <f t="shared" si="9"/>
        <v>#REF!</v>
      </c>
      <c r="H142" s="112">
        <f>TB!G322</f>
        <v>0</v>
      </c>
      <c r="I142" s="55" t="e">
        <f>[1]Sheet1!K320</f>
        <v>#REF!</v>
      </c>
      <c r="J142" s="16" t="e">
        <f>[1]Sheet1!M320</f>
        <v>#REF!</v>
      </c>
    </row>
    <row r="143" spans="1:10" s="17" customFormat="1" ht="15.75" customHeight="1">
      <c r="A143" s="65"/>
      <c r="B143" s="65"/>
      <c r="C143" s="43"/>
      <c r="D143" s="45" t="s">
        <v>2393</v>
      </c>
      <c r="E143" s="43"/>
      <c r="F143" s="43"/>
      <c r="G143" s="44" t="e">
        <f t="shared" si="9"/>
        <v>#REF!</v>
      </c>
      <c r="H143" s="112">
        <f>TB!G323</f>
        <v>0</v>
      </c>
      <c r="I143" s="55" t="e">
        <f>[1]Sheet1!K321</f>
        <v>#REF!</v>
      </c>
      <c r="J143" s="16" t="e">
        <f>[1]Sheet1!M321</f>
        <v>#REF!</v>
      </c>
    </row>
    <row r="144" spans="1:10" s="17" customFormat="1" ht="15.75" customHeight="1">
      <c r="A144" s="65"/>
      <c r="B144" s="65"/>
      <c r="C144" s="43"/>
      <c r="D144" s="45" t="s">
        <v>2395</v>
      </c>
      <c r="E144" s="43"/>
      <c r="F144" s="43"/>
      <c r="G144" s="44" t="e">
        <f t="shared" si="9"/>
        <v>#REF!</v>
      </c>
      <c r="H144" s="112">
        <f>TB!G324</f>
        <v>0</v>
      </c>
      <c r="I144" s="55" t="e">
        <f>[1]Sheet1!K322</f>
        <v>#REF!</v>
      </c>
      <c r="J144" s="16" t="e">
        <f>[1]Sheet1!M322</f>
        <v>#REF!</v>
      </c>
    </row>
    <row r="145" spans="1:10" s="17" customFormat="1" ht="15.75" customHeight="1">
      <c r="A145" s="65"/>
      <c r="B145" s="65"/>
      <c r="C145" s="43"/>
      <c r="D145" s="45" t="s">
        <v>2397</v>
      </c>
      <c r="E145" s="43"/>
      <c r="F145" s="43"/>
      <c r="G145" s="44" t="e">
        <f t="shared" si="9"/>
        <v>#REF!</v>
      </c>
      <c r="H145" s="112">
        <f>TB!G325</f>
        <v>0</v>
      </c>
      <c r="I145" s="55" t="e">
        <f>[1]Sheet1!K323</f>
        <v>#REF!</v>
      </c>
      <c r="J145" s="16" t="e">
        <f>[1]Sheet1!M323</f>
        <v>#REF!</v>
      </c>
    </row>
    <row r="146" spans="1:10" s="17" customFormat="1" ht="15.75" hidden="1" customHeight="1">
      <c r="A146" s="65"/>
      <c r="B146" s="65"/>
      <c r="C146" s="43"/>
      <c r="D146" s="45" t="s">
        <v>2399</v>
      </c>
      <c r="E146" s="43"/>
      <c r="F146" s="43"/>
      <c r="G146" s="44" t="e">
        <f t="shared" si="9"/>
        <v>#REF!</v>
      </c>
      <c r="H146" s="112">
        <f>TB!G326</f>
        <v>0</v>
      </c>
      <c r="I146" s="55" t="e">
        <f>[1]Sheet1!K324</f>
        <v>#REF!</v>
      </c>
      <c r="J146" s="16" t="e">
        <f>[1]Sheet1!M324</f>
        <v>#REF!</v>
      </c>
    </row>
    <row r="147" spans="1:10" s="40" customFormat="1" ht="15.75" hidden="1" customHeight="1">
      <c r="A147" s="65"/>
      <c r="B147" s="65"/>
      <c r="C147" s="43"/>
      <c r="D147" s="45" t="s">
        <v>2401</v>
      </c>
      <c r="E147" s="43"/>
      <c r="F147" s="43"/>
      <c r="G147" s="44" t="e">
        <f t="shared" si="9"/>
        <v>#REF!</v>
      </c>
      <c r="H147" s="112">
        <f>TB!G327</f>
        <v>0</v>
      </c>
      <c r="I147" s="55" t="e">
        <f>[1]Sheet1!K325</f>
        <v>#REF!</v>
      </c>
      <c r="J147" s="16" t="e">
        <f>[1]Sheet1!M325</f>
        <v>#REF!</v>
      </c>
    </row>
    <row r="148" spans="1:10" s="40" customFormat="1" ht="15.75" customHeight="1">
      <c r="A148" s="65"/>
      <c r="B148" s="65"/>
      <c r="C148" s="43"/>
      <c r="D148" s="45" t="s">
        <v>2403</v>
      </c>
      <c r="E148" s="43"/>
      <c r="F148" s="43"/>
      <c r="G148" s="44" t="e">
        <f t="shared" si="9"/>
        <v>#REF!</v>
      </c>
      <c r="H148" s="112">
        <f>TB!G328</f>
        <v>0</v>
      </c>
      <c r="I148" s="56" t="e">
        <f>[1]Sheet1!K326</f>
        <v>#REF!</v>
      </c>
      <c r="J148" s="9" t="e">
        <f>[1]Sheet1!M326</f>
        <v>#REF!</v>
      </c>
    </row>
    <row r="149" spans="1:10" s="40" customFormat="1" ht="15.75" customHeight="1">
      <c r="A149" s="65"/>
      <c r="B149" s="65"/>
      <c r="C149" s="43" t="s">
        <v>677</v>
      </c>
      <c r="D149" s="43"/>
      <c r="E149" s="43"/>
      <c r="F149" s="45"/>
      <c r="G149" s="72" t="e">
        <f>SUM(G150:G152)</f>
        <v>#REF!</v>
      </c>
      <c r="H149" s="113">
        <f>SUM(H150:H152)</f>
        <v>0</v>
      </c>
      <c r="I149" s="57" t="e">
        <f>SUM(I150:I152)</f>
        <v>#REF!</v>
      </c>
      <c r="J149" s="18" t="e">
        <f>SUM(J150:J152)</f>
        <v>#REF!</v>
      </c>
    </row>
    <row r="150" spans="1:10" s="40" customFormat="1" ht="15.75" customHeight="1">
      <c r="A150" s="65"/>
      <c r="B150" s="65"/>
      <c r="C150" s="43"/>
      <c r="D150" s="45" t="s">
        <v>2405</v>
      </c>
      <c r="E150" s="43"/>
      <c r="F150" s="43"/>
      <c r="G150" s="44" t="e">
        <f>SUM(H150:J150)</f>
        <v>#REF!</v>
      </c>
      <c r="H150" s="112">
        <f>TB!G329</f>
        <v>0</v>
      </c>
      <c r="I150" s="56" t="e">
        <f>[1]Sheet1!K327</f>
        <v>#REF!</v>
      </c>
      <c r="J150" s="9" t="e">
        <f>[1]Sheet1!M327</f>
        <v>#REF!</v>
      </c>
    </row>
    <row r="151" spans="1:10" s="40" customFormat="1" ht="15.75" customHeight="1">
      <c r="A151" s="65"/>
      <c r="B151" s="65"/>
      <c r="C151" s="43"/>
      <c r="D151" s="45" t="s">
        <v>2407</v>
      </c>
      <c r="E151" s="43"/>
      <c r="F151" s="43"/>
      <c r="G151" s="44" t="e">
        <f>SUM(H151:J151)</f>
        <v>#REF!</v>
      </c>
      <c r="H151" s="112">
        <f>TB!G330</f>
        <v>0</v>
      </c>
      <c r="I151" s="56" t="e">
        <f>[1]Sheet1!K328</f>
        <v>#REF!</v>
      </c>
      <c r="J151" s="9" t="e">
        <f>[1]Sheet1!M328</f>
        <v>#REF!</v>
      </c>
    </row>
    <row r="152" spans="1:10" s="41" customFormat="1" ht="15.75" customHeight="1">
      <c r="A152" s="80"/>
      <c r="B152" s="80"/>
      <c r="C152" s="70"/>
      <c r="D152" s="48" t="s">
        <v>2409</v>
      </c>
      <c r="E152" s="70"/>
      <c r="F152" s="70"/>
      <c r="G152" s="44" t="e">
        <f>SUM(H152:J152)</f>
        <v>#REF!</v>
      </c>
      <c r="H152" s="112">
        <f>TB!G331</f>
        <v>0</v>
      </c>
      <c r="I152" s="56" t="e">
        <f>[1]Sheet1!K329</f>
        <v>#REF!</v>
      </c>
      <c r="J152" s="9" t="e">
        <f>[1]Sheet1!M329</f>
        <v>#REF!</v>
      </c>
    </row>
    <row r="153" spans="1:10" s="41" customFormat="1" ht="15.75" customHeight="1">
      <c r="A153" s="80"/>
      <c r="B153" s="80"/>
      <c r="C153" s="70" t="s">
        <v>678</v>
      </c>
      <c r="D153" s="70"/>
      <c r="E153" s="70"/>
      <c r="F153" s="48"/>
      <c r="G153" s="72" t="e">
        <f>SUM(G154:G158)</f>
        <v>#REF!</v>
      </c>
      <c r="H153" s="113">
        <f>SUM(H154:H158)</f>
        <v>0</v>
      </c>
      <c r="I153" s="57" t="e">
        <f>SUM(I154:I158)</f>
        <v>#REF!</v>
      </c>
      <c r="J153" s="18" t="e">
        <f>SUM(J154:J158)</f>
        <v>#REF!</v>
      </c>
    </row>
    <row r="154" spans="1:10" s="40" customFormat="1" ht="15.75" customHeight="1">
      <c r="A154" s="65"/>
      <c r="B154" s="65"/>
      <c r="C154" s="43"/>
      <c r="D154" s="45" t="s">
        <v>2411</v>
      </c>
      <c r="E154" s="43"/>
      <c r="F154" s="43"/>
      <c r="G154" s="44" t="e">
        <f t="shared" ref="G154:G169" si="10">SUM(H154:J154)</f>
        <v>#REF!</v>
      </c>
      <c r="H154" s="112">
        <f>TB!G332</f>
        <v>0</v>
      </c>
      <c r="I154" s="56" t="e">
        <f>[1]Sheet1!K330</f>
        <v>#REF!</v>
      </c>
      <c r="J154" s="9" t="e">
        <f>[1]Sheet1!M330</f>
        <v>#REF!</v>
      </c>
    </row>
    <row r="155" spans="1:10" s="40" customFormat="1" ht="15.75" customHeight="1">
      <c r="A155" s="65"/>
      <c r="B155" s="65"/>
      <c r="C155" s="43"/>
      <c r="D155" s="45" t="s">
        <v>2413</v>
      </c>
      <c r="E155" s="43"/>
      <c r="F155" s="43"/>
      <c r="G155" s="44" t="e">
        <f t="shared" si="10"/>
        <v>#REF!</v>
      </c>
      <c r="H155" s="112">
        <f>TB!G333</f>
        <v>0</v>
      </c>
      <c r="I155" s="56" t="e">
        <f>[1]Sheet1!K331</f>
        <v>#REF!</v>
      </c>
      <c r="J155" s="9" t="e">
        <f>[1]Sheet1!M331</f>
        <v>#REF!</v>
      </c>
    </row>
    <row r="156" spans="1:10" s="40" customFormat="1" ht="15.75" customHeight="1">
      <c r="A156" s="65"/>
      <c r="B156" s="65"/>
      <c r="C156" s="43"/>
      <c r="D156" s="45" t="s">
        <v>2415</v>
      </c>
      <c r="E156" s="43"/>
      <c r="F156" s="43"/>
      <c r="G156" s="44" t="e">
        <f t="shared" si="10"/>
        <v>#REF!</v>
      </c>
      <c r="H156" s="112">
        <f>TB!G334</f>
        <v>0</v>
      </c>
      <c r="I156" s="56" t="e">
        <f>[1]Sheet1!K332</f>
        <v>#REF!</v>
      </c>
      <c r="J156" s="9" t="e">
        <f>[1]Sheet1!M332</f>
        <v>#REF!</v>
      </c>
    </row>
    <row r="157" spans="1:10" s="40" customFormat="1" ht="15.75" customHeight="1">
      <c r="A157" s="65"/>
      <c r="B157" s="65"/>
      <c r="C157" s="43"/>
      <c r="D157" s="45" t="s">
        <v>2417</v>
      </c>
      <c r="E157" s="43"/>
      <c r="F157" s="43"/>
      <c r="G157" s="44" t="e">
        <f t="shared" si="10"/>
        <v>#REF!</v>
      </c>
      <c r="H157" s="112">
        <f>TB!G335</f>
        <v>0</v>
      </c>
      <c r="I157" s="56" t="e">
        <f>[1]Sheet1!K333</f>
        <v>#REF!</v>
      </c>
      <c r="J157" s="9" t="e">
        <f>[1]Sheet1!M333</f>
        <v>#REF!</v>
      </c>
    </row>
    <row r="158" spans="1:10" s="40" customFormat="1" ht="15.75" customHeight="1">
      <c r="A158" s="65"/>
      <c r="B158" s="65"/>
      <c r="C158" s="43"/>
      <c r="D158" s="45" t="s">
        <v>2419</v>
      </c>
      <c r="E158" s="43"/>
      <c r="F158" s="43"/>
      <c r="G158" s="44" t="e">
        <f t="shared" si="10"/>
        <v>#REF!</v>
      </c>
      <c r="H158" s="112">
        <f>TB!G336</f>
        <v>0</v>
      </c>
      <c r="I158" s="56" t="e">
        <f>[1]Sheet1!K334</f>
        <v>#REF!</v>
      </c>
      <c r="J158" s="9" t="e">
        <f>[1]Sheet1!M334</f>
        <v>#REF!</v>
      </c>
    </row>
    <row r="159" spans="1:10" s="17" customFormat="1" ht="15.75" customHeight="1">
      <c r="A159" s="65"/>
      <c r="B159" s="65"/>
      <c r="C159" s="45" t="s">
        <v>832</v>
      </c>
      <c r="D159" s="45"/>
      <c r="E159" s="45"/>
      <c r="F159" s="43"/>
      <c r="G159" s="44" t="e">
        <f t="shared" si="10"/>
        <v>#REF!</v>
      </c>
      <c r="H159" s="112">
        <f>TB!G337</f>
        <v>0</v>
      </c>
      <c r="I159" s="56" t="e">
        <f>[1]Sheet1!K335</f>
        <v>#REF!</v>
      </c>
      <c r="J159" s="9" t="e">
        <f>[1]Sheet1!M335</f>
        <v>#REF!</v>
      </c>
    </row>
    <row r="160" spans="1:10" s="17" customFormat="1" ht="15.75" hidden="1" customHeight="1">
      <c r="A160" s="65"/>
      <c r="B160" s="65"/>
      <c r="C160" s="45" t="s">
        <v>2276</v>
      </c>
      <c r="D160" s="45"/>
      <c r="E160" s="45"/>
      <c r="F160" s="43"/>
      <c r="G160" s="44" t="e">
        <f t="shared" si="10"/>
        <v>#REF!</v>
      </c>
      <c r="H160" s="112">
        <f>TB!G338</f>
        <v>0</v>
      </c>
      <c r="I160" s="56" t="e">
        <f>[1]Sheet1!K336</f>
        <v>#REF!</v>
      </c>
      <c r="J160" s="9" t="e">
        <f>[1]Sheet1!M336</f>
        <v>#REF!</v>
      </c>
    </row>
    <row r="161" spans="1:10" s="17" customFormat="1" ht="15.75" customHeight="1">
      <c r="A161" s="65"/>
      <c r="B161" s="65"/>
      <c r="C161" s="45" t="s">
        <v>84</v>
      </c>
      <c r="D161" s="45"/>
      <c r="E161" s="45"/>
      <c r="F161" s="43"/>
      <c r="G161" s="44" t="e">
        <f t="shared" si="10"/>
        <v>#REF!</v>
      </c>
      <c r="H161" s="112">
        <f>TB!G339</f>
        <v>0</v>
      </c>
      <c r="I161" s="56" t="e">
        <f>[1]Sheet1!K337</f>
        <v>#REF!</v>
      </c>
      <c r="J161" s="9" t="e">
        <f>[1]Sheet1!M337</f>
        <v>#REF!</v>
      </c>
    </row>
    <row r="162" spans="1:10" s="17" customFormat="1" ht="15.75" customHeight="1">
      <c r="A162" s="65"/>
      <c r="B162" s="65"/>
      <c r="C162" s="45" t="s">
        <v>86</v>
      </c>
      <c r="D162" s="45"/>
      <c r="E162" s="45"/>
      <c r="F162" s="43"/>
      <c r="G162" s="44" t="e">
        <f t="shared" si="10"/>
        <v>#REF!</v>
      </c>
      <c r="H162" s="112">
        <f>TB!G340</f>
        <v>0</v>
      </c>
      <c r="I162" s="55" t="e">
        <f>[1]Sheet1!K338</f>
        <v>#REF!</v>
      </c>
      <c r="J162" s="16" t="e">
        <f>[1]Sheet1!M338</f>
        <v>#REF!</v>
      </c>
    </row>
    <row r="163" spans="1:10" s="17" customFormat="1" ht="15.75" customHeight="1">
      <c r="A163" s="65"/>
      <c r="B163" s="65"/>
      <c r="C163" s="45" t="s">
        <v>88</v>
      </c>
      <c r="D163" s="45"/>
      <c r="E163" s="45"/>
      <c r="F163" s="43"/>
      <c r="G163" s="44" t="e">
        <f t="shared" si="10"/>
        <v>#REF!</v>
      </c>
      <c r="H163" s="112">
        <f>TB!G341</f>
        <v>0</v>
      </c>
      <c r="I163" s="55" t="e">
        <f>[1]Sheet1!K339</f>
        <v>#REF!</v>
      </c>
      <c r="J163" s="16" t="e">
        <f>[1]Sheet1!M339</f>
        <v>#REF!</v>
      </c>
    </row>
    <row r="164" spans="1:10" s="17" customFormat="1" ht="15.75" customHeight="1">
      <c r="A164" s="65"/>
      <c r="B164" s="65"/>
      <c r="C164" s="45" t="s">
        <v>90</v>
      </c>
      <c r="D164" s="45"/>
      <c r="E164" s="45"/>
      <c r="F164" s="43"/>
      <c r="G164" s="44" t="e">
        <f t="shared" si="10"/>
        <v>#REF!</v>
      </c>
      <c r="H164" s="112">
        <f>TB!G342</f>
        <v>0</v>
      </c>
      <c r="I164" s="55" t="e">
        <f>[1]Sheet1!K340</f>
        <v>#REF!</v>
      </c>
      <c r="J164" s="16" t="e">
        <f>[1]Sheet1!M340</f>
        <v>#REF!</v>
      </c>
    </row>
    <row r="165" spans="1:10" s="17" customFormat="1" ht="15.75" customHeight="1">
      <c r="A165" s="65"/>
      <c r="B165" s="65"/>
      <c r="C165" s="45" t="s">
        <v>780</v>
      </c>
      <c r="D165" s="45"/>
      <c r="E165" s="45"/>
      <c r="F165" s="43"/>
      <c r="G165" s="44" t="e">
        <f t="shared" si="10"/>
        <v>#REF!</v>
      </c>
      <c r="H165" s="112">
        <f>TB!G343</f>
        <v>0</v>
      </c>
      <c r="I165" s="55" t="e">
        <f>[1]Sheet1!K341</f>
        <v>#REF!</v>
      </c>
      <c r="J165" s="16" t="e">
        <f>[1]Sheet1!M341</f>
        <v>#REF!</v>
      </c>
    </row>
    <row r="166" spans="1:10" s="17" customFormat="1" ht="15.75" hidden="1" customHeight="1">
      <c r="A166" s="65"/>
      <c r="B166" s="65"/>
      <c r="C166" s="45" t="s">
        <v>782</v>
      </c>
      <c r="D166" s="45"/>
      <c r="E166" s="45"/>
      <c r="F166" s="43"/>
      <c r="G166" s="44" t="e">
        <f t="shared" si="10"/>
        <v>#REF!</v>
      </c>
      <c r="H166" s="112">
        <f>TB!G344</f>
        <v>0</v>
      </c>
      <c r="I166" s="55" t="e">
        <f>[1]Sheet1!K342</f>
        <v>#REF!</v>
      </c>
      <c r="J166" s="16" t="e">
        <f>[1]Sheet1!M342</f>
        <v>#REF!</v>
      </c>
    </row>
    <row r="167" spans="1:10" s="17" customFormat="1" ht="15.75" customHeight="1">
      <c r="A167" s="65"/>
      <c r="B167" s="65"/>
      <c r="C167" s="45" t="s">
        <v>784</v>
      </c>
      <c r="D167" s="45"/>
      <c r="E167" s="45"/>
      <c r="F167" s="43"/>
      <c r="G167" s="44" t="e">
        <f t="shared" si="10"/>
        <v>#REF!</v>
      </c>
      <c r="H167" s="112">
        <f>TB!G345</f>
        <v>0</v>
      </c>
      <c r="I167" s="55" t="e">
        <f>[1]Sheet1!K343</f>
        <v>#REF!</v>
      </c>
      <c r="J167" s="16" t="e">
        <f>[1]Sheet1!M343</f>
        <v>#REF!</v>
      </c>
    </row>
    <row r="168" spans="1:10" s="17" customFormat="1" ht="15.75" hidden="1" customHeight="1">
      <c r="A168" s="65"/>
      <c r="B168" s="65"/>
      <c r="C168" s="45" t="s">
        <v>786</v>
      </c>
      <c r="D168" s="45"/>
      <c r="E168" s="45"/>
      <c r="F168" s="43"/>
      <c r="G168" s="44" t="e">
        <f t="shared" si="10"/>
        <v>#REF!</v>
      </c>
      <c r="H168" s="112">
        <f>TB!G346</f>
        <v>0</v>
      </c>
      <c r="I168" s="55" t="e">
        <f>[1]Sheet1!K344</f>
        <v>#REF!</v>
      </c>
      <c r="J168" s="16" t="e">
        <f>[1]Sheet1!M344</f>
        <v>#REF!</v>
      </c>
    </row>
    <row r="169" spans="1:10" s="17" customFormat="1" ht="15.75" customHeight="1">
      <c r="A169" s="65"/>
      <c r="B169" s="65"/>
      <c r="C169" s="45" t="s">
        <v>788</v>
      </c>
      <c r="D169" s="45"/>
      <c r="E169" s="45"/>
      <c r="F169" s="43"/>
      <c r="G169" s="44" t="e">
        <f t="shared" si="10"/>
        <v>#REF!</v>
      </c>
      <c r="H169" s="112">
        <f>TB!G347</f>
        <v>0</v>
      </c>
      <c r="I169" s="55" t="e">
        <f>[1]Sheet1!K345</f>
        <v>#REF!</v>
      </c>
      <c r="J169" s="16" t="e">
        <f>[1]Sheet1!M345</f>
        <v>#REF!</v>
      </c>
    </row>
    <row r="170" spans="1:10" s="17" customFormat="1" ht="15.75" customHeight="1">
      <c r="A170" s="65"/>
      <c r="B170" s="65"/>
      <c r="C170" s="45" t="s">
        <v>679</v>
      </c>
      <c r="D170" s="45"/>
      <c r="E170" s="45"/>
      <c r="F170" s="43"/>
      <c r="G170" s="72" t="e">
        <f>SUM(G171:G178)</f>
        <v>#REF!</v>
      </c>
      <c r="H170" s="113">
        <f>SUM(H171:H178)</f>
        <v>0</v>
      </c>
      <c r="I170" s="57" t="e">
        <f>SUM(I171:I178)</f>
        <v>#REF!</v>
      </c>
      <c r="J170" s="18" t="e">
        <f>SUM(J171:J178)</f>
        <v>#REF!</v>
      </c>
    </row>
    <row r="171" spans="1:10" s="17" customFormat="1" ht="15.75" customHeight="1">
      <c r="A171" s="65"/>
      <c r="B171" s="65"/>
      <c r="C171" s="43"/>
      <c r="D171" s="45" t="s">
        <v>790</v>
      </c>
      <c r="E171" s="43"/>
      <c r="F171" s="43"/>
      <c r="G171" s="44" t="e">
        <f t="shared" ref="G171:G178" si="11">SUM(H171:J171)</f>
        <v>#REF!</v>
      </c>
      <c r="H171" s="112">
        <f>TB!G348</f>
        <v>0</v>
      </c>
      <c r="I171" s="55" t="e">
        <f>[1]Sheet1!K346</f>
        <v>#REF!</v>
      </c>
      <c r="J171" s="16" t="e">
        <f>[1]Sheet1!M346</f>
        <v>#REF!</v>
      </c>
    </row>
    <row r="172" spans="1:10" s="17" customFormat="1" ht="15.75" hidden="1" customHeight="1">
      <c r="A172" s="65"/>
      <c r="B172" s="65"/>
      <c r="C172" s="43"/>
      <c r="D172" s="45" t="s">
        <v>792</v>
      </c>
      <c r="E172" s="43"/>
      <c r="F172" s="43"/>
      <c r="G172" s="44" t="e">
        <f t="shared" si="11"/>
        <v>#REF!</v>
      </c>
      <c r="H172" s="112">
        <f>TB!G349</f>
        <v>0</v>
      </c>
      <c r="I172" s="55" t="e">
        <f>[1]Sheet1!K347</f>
        <v>#REF!</v>
      </c>
      <c r="J172" s="16" t="e">
        <f>[1]Sheet1!M347</f>
        <v>#REF!</v>
      </c>
    </row>
    <row r="173" spans="1:10" s="17" customFormat="1" ht="15.75" customHeight="1">
      <c r="A173" s="65"/>
      <c r="B173" s="65"/>
      <c r="C173" s="43"/>
      <c r="D173" s="45" t="s">
        <v>794</v>
      </c>
      <c r="E173" s="43"/>
      <c r="F173" s="43"/>
      <c r="G173" s="44" t="e">
        <f t="shared" si="11"/>
        <v>#REF!</v>
      </c>
      <c r="H173" s="112">
        <f>TB!G350</f>
        <v>0</v>
      </c>
      <c r="I173" s="55" t="e">
        <f>[1]Sheet1!K348</f>
        <v>#REF!</v>
      </c>
      <c r="J173" s="16" t="e">
        <f>[1]Sheet1!M348</f>
        <v>#REF!</v>
      </c>
    </row>
    <row r="174" spans="1:10" s="17" customFormat="1" ht="15.75" hidden="1" customHeight="1">
      <c r="A174" s="65"/>
      <c r="B174" s="65"/>
      <c r="C174" s="43"/>
      <c r="D174" s="45" t="s">
        <v>796</v>
      </c>
      <c r="E174" s="43"/>
      <c r="F174" s="43"/>
      <c r="G174" s="44" t="e">
        <f t="shared" si="11"/>
        <v>#REF!</v>
      </c>
      <c r="H174" s="112">
        <f>TB!G351</f>
        <v>0</v>
      </c>
      <c r="I174" s="55" t="e">
        <f>[1]Sheet1!K349</f>
        <v>#REF!</v>
      </c>
      <c r="J174" s="16" t="e">
        <f>[1]Sheet1!M349</f>
        <v>#REF!</v>
      </c>
    </row>
    <row r="175" spans="1:10" s="17" customFormat="1" ht="15.75" hidden="1" customHeight="1">
      <c r="A175" s="65"/>
      <c r="B175" s="65"/>
      <c r="C175" s="43"/>
      <c r="D175" s="45" t="s">
        <v>2128</v>
      </c>
      <c r="E175" s="43"/>
      <c r="F175" s="43"/>
      <c r="G175" s="44" t="e">
        <f t="shared" si="11"/>
        <v>#REF!</v>
      </c>
      <c r="H175" s="112">
        <f>TB!G352</f>
        <v>0</v>
      </c>
      <c r="I175" s="55" t="e">
        <f>[1]Sheet1!K350</f>
        <v>#REF!</v>
      </c>
      <c r="J175" s="16" t="e">
        <f>[1]Sheet1!M350</f>
        <v>#REF!</v>
      </c>
    </row>
    <row r="176" spans="1:10" s="17" customFormat="1" ht="15.75" hidden="1" customHeight="1">
      <c r="A176" s="65"/>
      <c r="B176" s="65"/>
      <c r="C176" s="43"/>
      <c r="D176" s="45" t="s">
        <v>2130</v>
      </c>
      <c r="E176" s="43"/>
      <c r="F176" s="43"/>
      <c r="G176" s="44" t="e">
        <f t="shared" si="11"/>
        <v>#REF!</v>
      </c>
      <c r="H176" s="112">
        <f>TB!G353</f>
        <v>0</v>
      </c>
      <c r="I176" s="55" t="e">
        <f>[1]Sheet1!K351</f>
        <v>#REF!</v>
      </c>
      <c r="J176" s="16" t="e">
        <f>[1]Sheet1!M351</f>
        <v>#REF!</v>
      </c>
    </row>
    <row r="177" spans="1:10" s="17" customFormat="1" ht="15.75" customHeight="1">
      <c r="A177" s="65"/>
      <c r="B177" s="65"/>
      <c r="C177" s="43"/>
      <c r="D177" s="45" t="s">
        <v>1435</v>
      </c>
      <c r="E177" s="43"/>
      <c r="F177" s="43"/>
      <c r="G177" s="44" t="e">
        <f t="shared" si="11"/>
        <v>#REF!</v>
      </c>
      <c r="H177" s="112">
        <f>TB!G354</f>
        <v>0</v>
      </c>
      <c r="I177" s="55" t="e">
        <f>[1]Sheet1!K352</f>
        <v>#REF!</v>
      </c>
      <c r="J177" s="16" t="e">
        <f>[1]Sheet1!M352</f>
        <v>#REF!</v>
      </c>
    </row>
    <row r="178" spans="1:10" s="17" customFormat="1" ht="15.75" customHeight="1">
      <c r="A178" s="65"/>
      <c r="B178" s="65"/>
      <c r="C178" s="43"/>
      <c r="D178" s="45" t="s">
        <v>1437</v>
      </c>
      <c r="E178" s="43"/>
      <c r="F178" s="43"/>
      <c r="G178" s="44" t="e">
        <f t="shared" si="11"/>
        <v>#REF!</v>
      </c>
      <c r="H178" s="112">
        <f>TB!G355</f>
        <v>0</v>
      </c>
      <c r="I178" s="55" t="e">
        <f>[1]Sheet1!K353</f>
        <v>#REF!</v>
      </c>
      <c r="J178" s="16" t="e">
        <f>[1]Sheet1!M353</f>
        <v>#REF!</v>
      </c>
    </row>
    <row r="179" spans="1:10" s="17" customFormat="1" ht="15.75" customHeight="1">
      <c r="A179" s="65"/>
      <c r="B179" s="65"/>
      <c r="C179" s="43" t="s">
        <v>680</v>
      </c>
      <c r="D179" s="43"/>
      <c r="E179" s="43"/>
      <c r="F179" s="45"/>
      <c r="G179" s="72" t="e">
        <f>+G180+G185+G191+G195+G199+G212+G218+G220+G229</f>
        <v>#REF!</v>
      </c>
      <c r="H179" s="113">
        <f>+H180+H185+H191+H195+H199+H212+H218+H220+H229</f>
        <v>0</v>
      </c>
      <c r="I179" s="57" t="e">
        <f>+I180+I185+I191+I195+I199+I212+I218+I220+I229</f>
        <v>#REF!</v>
      </c>
      <c r="J179" s="18" t="e">
        <f>+J180+J185+J191+J195+J199+J212+J218+J220+J229</f>
        <v>#REF!</v>
      </c>
    </row>
    <row r="180" spans="1:10" s="17" customFormat="1" ht="15.75" customHeight="1">
      <c r="A180" s="65"/>
      <c r="B180" s="65"/>
      <c r="C180" s="43"/>
      <c r="D180" s="45" t="s">
        <v>980</v>
      </c>
      <c r="E180" s="45"/>
      <c r="F180" s="45"/>
      <c r="G180" s="72" t="e">
        <f>SUM(G181:G184)</f>
        <v>#REF!</v>
      </c>
      <c r="H180" s="113">
        <f>SUM(H181:H184)</f>
        <v>0</v>
      </c>
      <c r="I180" s="57" t="e">
        <f>SUM(I181:I184)</f>
        <v>#REF!</v>
      </c>
      <c r="J180" s="18" t="e">
        <f>SUM(J181:J184)</f>
        <v>#REF!</v>
      </c>
    </row>
    <row r="181" spans="1:10" s="17" customFormat="1" ht="15.75" customHeight="1">
      <c r="A181" s="65"/>
      <c r="B181" s="65"/>
      <c r="C181" s="43"/>
      <c r="D181" s="43"/>
      <c r="E181" s="45" t="s">
        <v>2168</v>
      </c>
      <c r="F181" s="43"/>
      <c r="G181" s="44" t="e">
        <f>SUM(H181:J181)</f>
        <v>#REF!</v>
      </c>
      <c r="H181" s="112">
        <f>TB!G356</f>
        <v>0</v>
      </c>
      <c r="I181" s="55" t="e">
        <f>[1]Sheet1!K354</f>
        <v>#REF!</v>
      </c>
      <c r="J181" s="16" t="e">
        <f>[1]Sheet1!M354</f>
        <v>#REF!</v>
      </c>
    </row>
    <row r="182" spans="1:10" s="17" customFormat="1" ht="15.75" hidden="1" customHeight="1">
      <c r="A182" s="65"/>
      <c r="B182" s="65"/>
      <c r="C182" s="43"/>
      <c r="D182" s="43"/>
      <c r="E182" s="45" t="s">
        <v>2170</v>
      </c>
      <c r="F182" s="43"/>
      <c r="G182" s="44" t="e">
        <f>SUM(H182:J182)</f>
        <v>#REF!</v>
      </c>
      <c r="H182" s="112">
        <f>TB!G357</f>
        <v>0</v>
      </c>
      <c r="I182" s="55" t="e">
        <f>[1]Sheet1!K355</f>
        <v>#REF!</v>
      </c>
      <c r="J182" s="16" t="e">
        <f>[1]Sheet1!M355</f>
        <v>#REF!</v>
      </c>
    </row>
    <row r="183" spans="1:10" s="17" customFormat="1" ht="15.75" hidden="1" customHeight="1">
      <c r="A183" s="65"/>
      <c r="B183" s="65"/>
      <c r="C183" s="43"/>
      <c r="D183" s="43"/>
      <c r="E183" s="45" t="s">
        <v>1411</v>
      </c>
      <c r="F183" s="43"/>
      <c r="G183" s="44" t="e">
        <f>SUM(H183:J183)</f>
        <v>#REF!</v>
      </c>
      <c r="H183" s="112">
        <f>TB!G358</f>
        <v>0</v>
      </c>
      <c r="I183" s="55" t="e">
        <f>[1]Sheet1!K356</f>
        <v>#REF!</v>
      </c>
      <c r="J183" s="16" t="e">
        <f>[1]Sheet1!M356</f>
        <v>#REF!</v>
      </c>
    </row>
    <row r="184" spans="1:10" s="17" customFormat="1" ht="24.75" hidden="1" customHeight="1">
      <c r="A184" s="65"/>
      <c r="B184" s="65"/>
      <c r="C184" s="43"/>
      <c r="D184" s="43"/>
      <c r="E184" s="46" t="s">
        <v>2172</v>
      </c>
      <c r="F184" s="73"/>
      <c r="G184" s="44" t="e">
        <f>SUM(H184:J184)</f>
        <v>#REF!</v>
      </c>
      <c r="H184" s="112">
        <f>TB!G359</f>
        <v>0</v>
      </c>
      <c r="I184" s="55" t="e">
        <f>[1]Sheet1!K357</f>
        <v>#REF!</v>
      </c>
      <c r="J184" s="16" t="e">
        <f>[1]Sheet1!M357</f>
        <v>#REF!</v>
      </c>
    </row>
    <row r="185" spans="1:10" s="17" customFormat="1" ht="15.75" customHeight="1">
      <c r="A185" s="65"/>
      <c r="B185" s="65"/>
      <c r="C185" s="43"/>
      <c r="D185" s="45" t="s">
        <v>681</v>
      </c>
      <c r="E185" s="45"/>
      <c r="F185" s="45"/>
      <c r="G185" s="72" t="e">
        <f>SUM(G186:G190)</f>
        <v>#REF!</v>
      </c>
      <c r="H185" s="113">
        <f>SUM(H186:H190)</f>
        <v>0</v>
      </c>
      <c r="I185" s="57" t="e">
        <f>SUM(I186:I190)</f>
        <v>#REF!</v>
      </c>
      <c r="J185" s="18" t="e">
        <f>SUM(J186:J190)</f>
        <v>#REF!</v>
      </c>
    </row>
    <row r="186" spans="1:10" s="17" customFormat="1" ht="15.75" customHeight="1">
      <c r="A186" s="65"/>
      <c r="B186" s="65"/>
      <c r="C186" s="43"/>
      <c r="D186" s="43"/>
      <c r="E186" s="45" t="s">
        <v>2174</v>
      </c>
      <c r="F186" s="43"/>
      <c r="G186" s="44" t="e">
        <f>SUM(H186:J186)</f>
        <v>#REF!</v>
      </c>
      <c r="H186" s="112">
        <f>TB!G360</f>
        <v>0</v>
      </c>
      <c r="I186" s="55" t="e">
        <f>[1]Sheet1!K358</f>
        <v>#REF!</v>
      </c>
      <c r="J186" s="16" t="e">
        <f>[1]Sheet1!M358</f>
        <v>#REF!</v>
      </c>
    </row>
    <row r="187" spans="1:10" s="17" customFormat="1" ht="15.75" hidden="1" customHeight="1">
      <c r="A187" s="65"/>
      <c r="B187" s="65"/>
      <c r="C187" s="43"/>
      <c r="D187" s="43"/>
      <c r="E187" s="45" t="s">
        <v>2176</v>
      </c>
      <c r="F187" s="43"/>
      <c r="G187" s="44" t="e">
        <f>SUM(H187:J187)</f>
        <v>#REF!</v>
      </c>
      <c r="H187" s="112">
        <f>TB!G361</f>
        <v>0</v>
      </c>
      <c r="I187" s="55" t="e">
        <f>[1]Sheet1!K359</f>
        <v>#REF!</v>
      </c>
      <c r="J187" s="16" t="e">
        <f>[1]Sheet1!M359</f>
        <v>#REF!</v>
      </c>
    </row>
    <row r="188" spans="1:10" s="17" customFormat="1" ht="15.75" customHeight="1">
      <c r="A188" s="65"/>
      <c r="B188" s="65"/>
      <c r="C188" s="43"/>
      <c r="D188" s="43"/>
      <c r="E188" s="45" t="s">
        <v>2178</v>
      </c>
      <c r="F188" s="43"/>
      <c r="G188" s="44" t="e">
        <f>SUM(H188:J188)</f>
        <v>#REF!</v>
      </c>
      <c r="H188" s="112">
        <f>TB!G362</f>
        <v>0</v>
      </c>
      <c r="I188" s="55" t="e">
        <f>[1]Sheet1!K360</f>
        <v>#REF!</v>
      </c>
      <c r="J188" s="16" t="e">
        <f>[1]Sheet1!M360</f>
        <v>#REF!</v>
      </c>
    </row>
    <row r="189" spans="1:10" s="17" customFormat="1" ht="15.75" hidden="1" customHeight="1">
      <c r="A189" s="65"/>
      <c r="B189" s="65"/>
      <c r="C189" s="43"/>
      <c r="D189" s="43"/>
      <c r="E189" s="45" t="s">
        <v>2180</v>
      </c>
      <c r="F189" s="43"/>
      <c r="G189" s="44" t="e">
        <f>SUM(H189:J189)</f>
        <v>#REF!</v>
      </c>
      <c r="H189" s="112">
        <f>TB!G363</f>
        <v>0</v>
      </c>
      <c r="I189" s="55" t="e">
        <f>[1]Sheet1!K361</f>
        <v>#REF!</v>
      </c>
      <c r="J189" s="16" t="e">
        <f>[1]Sheet1!M361</f>
        <v>#REF!</v>
      </c>
    </row>
    <row r="190" spans="1:10" s="17" customFormat="1" ht="15.75" customHeight="1">
      <c r="A190" s="65"/>
      <c r="B190" s="65"/>
      <c r="C190" s="43"/>
      <c r="D190" s="43"/>
      <c r="E190" s="45" t="s">
        <v>2182</v>
      </c>
      <c r="F190" s="43"/>
      <c r="G190" s="44" t="e">
        <f>SUM(H190:J190)</f>
        <v>#REF!</v>
      </c>
      <c r="H190" s="112">
        <f>TB!G364</f>
        <v>0</v>
      </c>
      <c r="I190" s="55" t="e">
        <f>[1]Sheet1!K362</f>
        <v>#REF!</v>
      </c>
      <c r="J190" s="16" t="e">
        <f>[1]Sheet1!M362</f>
        <v>#REF!</v>
      </c>
    </row>
    <row r="191" spans="1:10" s="17" customFormat="1" ht="15.75" hidden="1" customHeight="1">
      <c r="A191" s="65"/>
      <c r="B191" s="65"/>
      <c r="C191" s="43"/>
      <c r="D191" s="43" t="s">
        <v>632</v>
      </c>
      <c r="E191" s="43"/>
      <c r="F191" s="45"/>
      <c r="G191" s="72" t="e">
        <f>SUM(G192:G194)</f>
        <v>#REF!</v>
      </c>
      <c r="H191" s="113">
        <f>SUM(H192:H194)</f>
        <v>0</v>
      </c>
      <c r="I191" s="57" t="e">
        <f>SUM(I192:I194)</f>
        <v>#REF!</v>
      </c>
      <c r="J191" s="18" t="e">
        <f>SUM(J192:J194)</f>
        <v>#REF!</v>
      </c>
    </row>
    <row r="192" spans="1:10" s="17" customFormat="1" ht="15.75" hidden="1" customHeight="1">
      <c r="A192" s="65"/>
      <c r="B192" s="65"/>
      <c r="C192" s="43"/>
      <c r="D192" s="43"/>
      <c r="E192" s="45" t="s">
        <v>2184</v>
      </c>
      <c r="F192" s="43"/>
      <c r="G192" s="44" t="e">
        <f>SUM(H192:J192)</f>
        <v>#REF!</v>
      </c>
      <c r="H192" s="112">
        <f>TB!G365</f>
        <v>0</v>
      </c>
      <c r="I192" s="55" t="e">
        <f>[1]Sheet1!K363</f>
        <v>#REF!</v>
      </c>
      <c r="J192" s="16" t="e">
        <f>[1]Sheet1!M363</f>
        <v>#REF!</v>
      </c>
    </row>
    <row r="193" spans="1:10" s="17" customFormat="1" ht="15.75" hidden="1" customHeight="1">
      <c r="A193" s="65"/>
      <c r="B193" s="65"/>
      <c r="C193" s="43"/>
      <c r="D193" s="43"/>
      <c r="E193" s="45" t="s">
        <v>56</v>
      </c>
      <c r="F193" s="43"/>
      <c r="G193" s="44" t="e">
        <f>SUM(H193:J193)</f>
        <v>#REF!</v>
      </c>
      <c r="H193" s="112">
        <f>TB!G366</f>
        <v>0</v>
      </c>
      <c r="I193" s="55" t="e">
        <f>[1]Sheet1!K364</f>
        <v>#REF!</v>
      </c>
      <c r="J193" s="16" t="e">
        <f>[1]Sheet1!M364</f>
        <v>#REF!</v>
      </c>
    </row>
    <row r="194" spans="1:10" s="17" customFormat="1" ht="15.75" hidden="1" customHeight="1">
      <c r="A194" s="65"/>
      <c r="B194" s="65"/>
      <c r="C194" s="43"/>
      <c r="D194" s="43"/>
      <c r="E194" s="45" t="s">
        <v>58</v>
      </c>
      <c r="F194" s="43"/>
      <c r="G194" s="44" t="e">
        <f>SUM(H194:J194)</f>
        <v>#REF!</v>
      </c>
      <c r="H194" s="112">
        <f>TB!G367</f>
        <v>0</v>
      </c>
      <c r="I194" s="55" t="e">
        <f>[1]Sheet1!K365</f>
        <v>#REF!</v>
      </c>
      <c r="J194" s="16" t="e">
        <f>[1]Sheet1!M365</f>
        <v>#REF!</v>
      </c>
    </row>
    <row r="195" spans="1:10" s="17" customFormat="1" ht="15.75" customHeight="1">
      <c r="A195" s="65"/>
      <c r="B195" s="65"/>
      <c r="C195" s="43"/>
      <c r="D195" s="43" t="s">
        <v>633</v>
      </c>
      <c r="E195" s="43"/>
      <c r="F195" s="45"/>
      <c r="G195" s="72" t="e">
        <f>SUM(G196:G198)</f>
        <v>#REF!</v>
      </c>
      <c r="H195" s="113">
        <f>SUM(H196:H198)</f>
        <v>0</v>
      </c>
      <c r="I195" s="57" t="e">
        <f>SUM(I196:I198)</f>
        <v>#REF!</v>
      </c>
      <c r="J195" s="18" t="e">
        <f>SUM(J196:J198)</f>
        <v>#REF!</v>
      </c>
    </row>
    <row r="196" spans="1:10" s="17" customFormat="1" ht="15.75" customHeight="1">
      <c r="A196" s="65"/>
      <c r="B196" s="65"/>
      <c r="C196" s="43"/>
      <c r="D196" s="43"/>
      <c r="E196" s="45" t="s">
        <v>60</v>
      </c>
      <c r="F196" s="43"/>
      <c r="G196" s="44" t="e">
        <f>SUM(H196:J196)</f>
        <v>#REF!</v>
      </c>
      <c r="H196" s="112">
        <f>TB!G368</f>
        <v>0</v>
      </c>
      <c r="I196" s="55" t="e">
        <f>[1]Sheet1!K366</f>
        <v>#REF!</v>
      </c>
      <c r="J196" s="16" t="e">
        <f>[1]Sheet1!M366</f>
        <v>#REF!</v>
      </c>
    </row>
    <row r="197" spans="1:10" s="17" customFormat="1" ht="15.75" customHeight="1">
      <c r="A197" s="65"/>
      <c r="B197" s="65"/>
      <c r="C197" s="43"/>
      <c r="D197" s="43"/>
      <c r="E197" s="45" t="s">
        <v>62</v>
      </c>
      <c r="F197" s="43"/>
      <c r="G197" s="44" t="e">
        <f>SUM(H197:J197)</f>
        <v>#REF!</v>
      </c>
      <c r="H197" s="112">
        <f>TB!G369</f>
        <v>0</v>
      </c>
      <c r="I197" s="55" t="e">
        <f>[1]Sheet1!K367</f>
        <v>#REF!</v>
      </c>
      <c r="J197" s="16" t="e">
        <f>[1]Sheet1!M367</f>
        <v>#REF!</v>
      </c>
    </row>
    <row r="198" spans="1:10" s="17" customFormat="1" ht="15.75" customHeight="1">
      <c r="A198" s="65"/>
      <c r="B198" s="65"/>
      <c r="C198" s="43"/>
      <c r="D198" s="43"/>
      <c r="E198" s="45" t="s">
        <v>64</v>
      </c>
      <c r="F198" s="43"/>
      <c r="G198" s="44" t="e">
        <f>SUM(H198:J198)</f>
        <v>#REF!</v>
      </c>
      <c r="H198" s="112">
        <f>TB!G370</f>
        <v>0</v>
      </c>
      <c r="I198" s="55" t="e">
        <f>[1]Sheet1!K368</f>
        <v>#REF!</v>
      </c>
      <c r="J198" s="16" t="e">
        <f>[1]Sheet1!M368</f>
        <v>#REF!</v>
      </c>
    </row>
    <row r="199" spans="1:10" s="17" customFormat="1" ht="15.75" hidden="1" customHeight="1">
      <c r="A199" s="65"/>
      <c r="B199" s="65"/>
      <c r="C199" s="43"/>
      <c r="D199" s="43" t="s">
        <v>634</v>
      </c>
      <c r="E199" s="43"/>
      <c r="F199" s="45"/>
      <c r="G199" s="72" t="e">
        <f>SUM(G200:G211)</f>
        <v>#REF!</v>
      </c>
      <c r="H199" s="113">
        <f>SUM(H200:H211)</f>
        <v>0</v>
      </c>
      <c r="I199" s="57" t="e">
        <f>SUM(I200:I211)</f>
        <v>#REF!</v>
      </c>
      <c r="J199" s="18" t="e">
        <f>SUM(J200:J211)</f>
        <v>#REF!</v>
      </c>
    </row>
    <row r="200" spans="1:10" s="17" customFormat="1" ht="15.75" hidden="1" customHeight="1">
      <c r="A200" s="65"/>
      <c r="B200" s="65"/>
      <c r="C200" s="43"/>
      <c r="D200" s="43"/>
      <c r="E200" s="45" t="s">
        <v>66</v>
      </c>
      <c r="F200" s="43"/>
      <c r="G200" s="44" t="e">
        <f t="shared" ref="G200:G211" si="12">SUM(H200:J200)</f>
        <v>#REF!</v>
      </c>
      <c r="H200" s="112">
        <f>TB!G371</f>
        <v>0</v>
      </c>
      <c r="I200" s="55" t="e">
        <f>[1]Sheet1!K369</f>
        <v>#REF!</v>
      </c>
      <c r="J200" s="16" t="e">
        <f>[1]Sheet1!M369</f>
        <v>#REF!</v>
      </c>
    </row>
    <row r="201" spans="1:10" s="17" customFormat="1" ht="24" hidden="1" customHeight="1">
      <c r="A201" s="65"/>
      <c r="B201" s="65"/>
      <c r="C201" s="43"/>
      <c r="D201" s="43"/>
      <c r="E201" s="46" t="s">
        <v>68</v>
      </c>
      <c r="F201" s="73"/>
      <c r="G201" s="44" t="e">
        <f t="shared" si="12"/>
        <v>#REF!</v>
      </c>
      <c r="H201" s="112">
        <f>TB!G372</f>
        <v>0</v>
      </c>
      <c r="I201" s="55" t="e">
        <f>[1]Sheet1!K370</f>
        <v>#REF!</v>
      </c>
      <c r="J201" s="16" t="e">
        <f>[1]Sheet1!M370</f>
        <v>#REF!</v>
      </c>
    </row>
    <row r="202" spans="1:10" s="17" customFormat="1" ht="15.75" hidden="1" customHeight="1">
      <c r="A202" s="65"/>
      <c r="B202" s="65"/>
      <c r="C202" s="43"/>
      <c r="D202" s="43"/>
      <c r="E202" s="45" t="s">
        <v>70</v>
      </c>
      <c r="F202" s="43"/>
      <c r="G202" s="44" t="e">
        <f t="shared" si="12"/>
        <v>#REF!</v>
      </c>
      <c r="H202" s="112">
        <f>TB!G373</f>
        <v>0</v>
      </c>
      <c r="I202" s="55" t="e">
        <f>[1]Sheet1!K371</f>
        <v>#REF!</v>
      </c>
      <c r="J202" s="16" t="e">
        <f>[1]Sheet1!M371</f>
        <v>#REF!</v>
      </c>
    </row>
    <row r="203" spans="1:10" s="17" customFormat="1" ht="15.75" hidden="1" customHeight="1">
      <c r="A203" s="65"/>
      <c r="B203" s="65"/>
      <c r="C203" s="43"/>
      <c r="D203" s="43"/>
      <c r="E203" s="45" t="s">
        <v>72</v>
      </c>
      <c r="F203" s="43"/>
      <c r="G203" s="44" t="e">
        <f t="shared" si="12"/>
        <v>#REF!</v>
      </c>
      <c r="H203" s="112">
        <f>TB!G374</f>
        <v>0</v>
      </c>
      <c r="I203" s="55" t="e">
        <f>[1]Sheet1!K372</f>
        <v>#REF!</v>
      </c>
      <c r="J203" s="16" t="e">
        <f>[1]Sheet1!M372</f>
        <v>#REF!</v>
      </c>
    </row>
    <row r="204" spans="1:10" s="17" customFormat="1" ht="15.75" hidden="1" customHeight="1">
      <c r="A204" s="65"/>
      <c r="B204" s="65"/>
      <c r="C204" s="43"/>
      <c r="D204" s="43"/>
      <c r="E204" s="45" t="s">
        <v>74</v>
      </c>
      <c r="F204" s="43"/>
      <c r="G204" s="44" t="e">
        <f t="shared" si="12"/>
        <v>#REF!</v>
      </c>
      <c r="H204" s="112">
        <f>TB!G375</f>
        <v>0</v>
      </c>
      <c r="I204" s="55" t="e">
        <f>[1]Sheet1!K373</f>
        <v>#REF!</v>
      </c>
      <c r="J204" s="16" t="e">
        <f>[1]Sheet1!M373</f>
        <v>#REF!</v>
      </c>
    </row>
    <row r="205" spans="1:10" s="17" customFormat="1" ht="15.75" hidden="1" customHeight="1">
      <c r="A205" s="65"/>
      <c r="B205" s="65"/>
      <c r="C205" s="43"/>
      <c r="D205" s="43"/>
      <c r="E205" s="45" t="s">
        <v>76</v>
      </c>
      <c r="F205" s="43"/>
      <c r="G205" s="44" t="e">
        <f t="shared" si="12"/>
        <v>#REF!</v>
      </c>
      <c r="H205" s="112">
        <f>TB!G376</f>
        <v>0</v>
      </c>
      <c r="I205" s="55" t="e">
        <f>[1]Sheet1!K374</f>
        <v>#REF!</v>
      </c>
      <c r="J205" s="16" t="e">
        <f>[1]Sheet1!M374</f>
        <v>#REF!</v>
      </c>
    </row>
    <row r="206" spans="1:10" s="17" customFormat="1" ht="15.75" hidden="1" customHeight="1">
      <c r="A206" s="65"/>
      <c r="B206" s="65"/>
      <c r="C206" s="43"/>
      <c r="D206" s="43"/>
      <c r="E206" s="45" t="s">
        <v>78</v>
      </c>
      <c r="F206" s="43"/>
      <c r="G206" s="44" t="e">
        <f t="shared" si="12"/>
        <v>#REF!</v>
      </c>
      <c r="H206" s="112">
        <f>TB!G377</f>
        <v>0</v>
      </c>
      <c r="I206" s="55" t="e">
        <f>[1]Sheet1!K375</f>
        <v>#REF!</v>
      </c>
      <c r="J206" s="16" t="e">
        <f>[1]Sheet1!M375</f>
        <v>#REF!</v>
      </c>
    </row>
    <row r="207" spans="1:10" s="17" customFormat="1" ht="15.75" hidden="1" customHeight="1">
      <c r="A207" s="65"/>
      <c r="B207" s="65"/>
      <c r="C207" s="43"/>
      <c r="D207" s="43"/>
      <c r="E207" s="45" t="s">
        <v>80</v>
      </c>
      <c r="F207" s="43"/>
      <c r="G207" s="44" t="e">
        <f t="shared" si="12"/>
        <v>#REF!</v>
      </c>
      <c r="H207" s="112">
        <f>TB!G378</f>
        <v>0</v>
      </c>
      <c r="I207" s="55" t="e">
        <f>[1]Sheet1!K376</f>
        <v>#REF!</v>
      </c>
      <c r="J207" s="16" t="e">
        <f>[1]Sheet1!M376</f>
        <v>#REF!</v>
      </c>
    </row>
    <row r="208" spans="1:10" s="17" customFormat="1" ht="15.75" hidden="1" customHeight="1">
      <c r="A208" s="65"/>
      <c r="B208" s="65"/>
      <c r="C208" s="43"/>
      <c r="D208" s="43"/>
      <c r="E208" s="45" t="s">
        <v>82</v>
      </c>
      <c r="F208" s="43"/>
      <c r="G208" s="44" t="e">
        <f t="shared" si="12"/>
        <v>#REF!</v>
      </c>
      <c r="H208" s="112">
        <f>TB!G379</f>
        <v>0</v>
      </c>
      <c r="I208" s="55" t="e">
        <f>[1]Sheet1!K377</f>
        <v>#REF!</v>
      </c>
      <c r="J208" s="16" t="e">
        <f>[1]Sheet1!M377</f>
        <v>#REF!</v>
      </c>
    </row>
    <row r="209" spans="1:10" s="17" customFormat="1" ht="15.75" hidden="1" customHeight="1">
      <c r="A209" s="65"/>
      <c r="B209" s="65"/>
      <c r="C209" s="43"/>
      <c r="D209" s="43"/>
      <c r="E209" s="45" t="s">
        <v>1569</v>
      </c>
      <c r="F209" s="43"/>
      <c r="G209" s="44" t="e">
        <f t="shared" si="12"/>
        <v>#REF!</v>
      </c>
      <c r="H209" s="112">
        <f>TB!G380</f>
        <v>0</v>
      </c>
      <c r="I209" s="55" t="e">
        <f>[1]Sheet1!K378</f>
        <v>#REF!</v>
      </c>
      <c r="J209" s="16" t="e">
        <f>[1]Sheet1!M378</f>
        <v>#REF!</v>
      </c>
    </row>
    <row r="210" spans="1:10" s="17" customFormat="1" ht="15.75" hidden="1" customHeight="1">
      <c r="A210" s="65"/>
      <c r="B210" s="65"/>
      <c r="C210" s="43"/>
      <c r="D210" s="43"/>
      <c r="E210" s="45" t="s">
        <v>1571</v>
      </c>
      <c r="F210" s="43"/>
      <c r="G210" s="44" t="e">
        <f t="shared" si="12"/>
        <v>#REF!</v>
      </c>
      <c r="H210" s="112">
        <f>TB!G381</f>
        <v>0</v>
      </c>
      <c r="I210" s="55" t="e">
        <f>[1]Sheet1!K379</f>
        <v>#REF!</v>
      </c>
      <c r="J210" s="16" t="e">
        <f>[1]Sheet1!M379</f>
        <v>#REF!</v>
      </c>
    </row>
    <row r="211" spans="1:10" s="17" customFormat="1" ht="15.75" hidden="1" customHeight="1">
      <c r="A211" s="65"/>
      <c r="B211" s="65"/>
      <c r="C211" s="43"/>
      <c r="D211" s="43"/>
      <c r="E211" s="45" t="s">
        <v>1573</v>
      </c>
      <c r="F211" s="43"/>
      <c r="G211" s="44" t="e">
        <f t="shared" si="12"/>
        <v>#REF!</v>
      </c>
      <c r="H211" s="112">
        <f>TB!G382</f>
        <v>0</v>
      </c>
      <c r="I211" s="55" t="e">
        <f>[1]Sheet1!K380</f>
        <v>#REF!</v>
      </c>
      <c r="J211" s="16" t="e">
        <f>[1]Sheet1!M380</f>
        <v>#REF!</v>
      </c>
    </row>
    <row r="212" spans="1:10" s="17" customFormat="1" ht="15.75" customHeight="1">
      <c r="A212" s="65"/>
      <c r="B212" s="65"/>
      <c r="C212" s="43"/>
      <c r="D212" s="43" t="s">
        <v>635</v>
      </c>
      <c r="E212" s="43"/>
      <c r="F212" s="45"/>
      <c r="G212" s="72" t="e">
        <f>SUM(G213:G217)</f>
        <v>#REF!</v>
      </c>
      <c r="H212" s="113">
        <f>SUM(H213:H217)</f>
        <v>0</v>
      </c>
      <c r="I212" s="57" t="e">
        <f>SUM(I213:I217)</f>
        <v>#REF!</v>
      </c>
      <c r="J212" s="18" t="e">
        <f>SUM(J213:J217)</f>
        <v>#REF!</v>
      </c>
    </row>
    <row r="213" spans="1:10" s="17" customFormat="1" ht="15.75" customHeight="1">
      <c r="A213" s="65"/>
      <c r="B213" s="65"/>
      <c r="C213" s="43"/>
      <c r="D213" s="43"/>
      <c r="E213" s="45" t="s">
        <v>1575</v>
      </c>
      <c r="F213" s="43"/>
      <c r="G213" s="44" t="e">
        <f>SUM(H213:J213)</f>
        <v>#REF!</v>
      </c>
      <c r="H213" s="112">
        <f>TB!G383</f>
        <v>0</v>
      </c>
      <c r="I213" s="55" t="e">
        <f>[1]Sheet1!K381</f>
        <v>#REF!</v>
      </c>
      <c r="J213" s="16" t="e">
        <f>[1]Sheet1!M381</f>
        <v>#REF!</v>
      </c>
    </row>
    <row r="214" spans="1:10" s="17" customFormat="1" ht="15.75" hidden="1" customHeight="1">
      <c r="A214" s="65"/>
      <c r="B214" s="65"/>
      <c r="C214" s="43"/>
      <c r="D214" s="43"/>
      <c r="E214" s="45" t="s">
        <v>1577</v>
      </c>
      <c r="F214" s="43"/>
      <c r="G214" s="44" t="e">
        <f>SUM(H214:J214)</f>
        <v>#REF!</v>
      </c>
      <c r="H214" s="112">
        <f>TB!G384</f>
        <v>0</v>
      </c>
      <c r="I214" s="55" t="e">
        <f>[1]Sheet1!K382</f>
        <v>#REF!</v>
      </c>
      <c r="J214" s="16" t="e">
        <f>[1]Sheet1!M382</f>
        <v>#REF!</v>
      </c>
    </row>
    <row r="215" spans="1:10" s="17" customFormat="1" ht="15.75" hidden="1" customHeight="1">
      <c r="A215" s="65"/>
      <c r="B215" s="65"/>
      <c r="C215" s="43"/>
      <c r="D215" s="43"/>
      <c r="E215" s="45" t="s">
        <v>1579</v>
      </c>
      <c r="F215" s="43"/>
      <c r="G215" s="44" t="e">
        <f>SUM(H215:J215)</f>
        <v>#REF!</v>
      </c>
      <c r="H215" s="112">
        <f>TB!G385</f>
        <v>0</v>
      </c>
      <c r="I215" s="55" t="e">
        <f>[1]Sheet1!K383</f>
        <v>#REF!</v>
      </c>
      <c r="J215" s="16" t="e">
        <f>[1]Sheet1!M383</f>
        <v>#REF!</v>
      </c>
    </row>
    <row r="216" spans="1:10" s="17" customFormat="1" ht="15.75" customHeight="1">
      <c r="A216" s="65"/>
      <c r="B216" s="65"/>
      <c r="C216" s="43"/>
      <c r="D216" s="43"/>
      <c r="E216" s="45" t="s">
        <v>1581</v>
      </c>
      <c r="F216" s="43"/>
      <c r="G216" s="44" t="e">
        <f>SUM(H216:J216)</f>
        <v>#REF!</v>
      </c>
      <c r="H216" s="112">
        <f>TB!G386</f>
        <v>0</v>
      </c>
      <c r="I216" s="55" t="e">
        <f>[1]Sheet1!K384</f>
        <v>#REF!</v>
      </c>
      <c r="J216" s="16" t="e">
        <f>[1]Sheet1!M384</f>
        <v>#REF!</v>
      </c>
    </row>
    <row r="217" spans="1:10" s="17" customFormat="1" ht="15.75" hidden="1" customHeight="1">
      <c r="A217" s="65"/>
      <c r="B217" s="65"/>
      <c r="C217" s="43"/>
      <c r="D217" s="43"/>
      <c r="E217" s="45" t="s">
        <v>1583</v>
      </c>
      <c r="F217" s="43"/>
      <c r="G217" s="44" t="e">
        <f>SUM(H217:J217)</f>
        <v>#REF!</v>
      </c>
      <c r="H217" s="112">
        <f>TB!G387</f>
        <v>0</v>
      </c>
      <c r="I217" s="55" t="e">
        <f>[1]Sheet1!K385</f>
        <v>#REF!</v>
      </c>
      <c r="J217" s="16" t="e">
        <f>[1]Sheet1!M385</f>
        <v>#REF!</v>
      </c>
    </row>
    <row r="218" spans="1:10" s="17" customFormat="1" ht="15.75" hidden="1" customHeight="1">
      <c r="A218" s="65"/>
      <c r="B218" s="65"/>
      <c r="C218" s="43"/>
      <c r="D218" s="43" t="s">
        <v>636</v>
      </c>
      <c r="E218" s="43"/>
      <c r="F218" s="45"/>
      <c r="G218" s="72" t="e">
        <f>SUM(G219)</f>
        <v>#REF!</v>
      </c>
      <c r="H218" s="113">
        <f>SUM(H219)</f>
        <v>0</v>
      </c>
      <c r="I218" s="57" t="e">
        <f>SUM(I219)</f>
        <v>#REF!</v>
      </c>
      <c r="J218" s="18" t="e">
        <f>SUM(J219)</f>
        <v>#REF!</v>
      </c>
    </row>
    <row r="219" spans="1:10" s="17" customFormat="1" ht="15.75" hidden="1" customHeight="1">
      <c r="A219" s="65"/>
      <c r="B219" s="65"/>
      <c r="C219" s="43"/>
      <c r="D219" s="43"/>
      <c r="E219" s="45" t="s">
        <v>1585</v>
      </c>
      <c r="F219" s="43"/>
      <c r="G219" s="44" t="e">
        <f>SUM(H219:J219)</f>
        <v>#REF!</v>
      </c>
      <c r="H219" s="112">
        <f>TB!G388</f>
        <v>0</v>
      </c>
      <c r="I219" s="55" t="e">
        <f>[1]Sheet1!K386</f>
        <v>#REF!</v>
      </c>
      <c r="J219" s="16" t="e">
        <f>[1]Sheet1!M386</f>
        <v>#REF!</v>
      </c>
    </row>
    <row r="220" spans="1:10" s="17" customFormat="1" ht="15.75" customHeight="1">
      <c r="A220" s="65"/>
      <c r="B220" s="65"/>
      <c r="C220" s="43"/>
      <c r="D220" s="43" t="s">
        <v>637</v>
      </c>
      <c r="E220" s="43"/>
      <c r="F220" s="45"/>
      <c r="G220" s="72" t="e">
        <f>SUM(G221:G228)</f>
        <v>#REF!</v>
      </c>
      <c r="H220" s="113">
        <f>SUM(H221:H228)</f>
        <v>0</v>
      </c>
      <c r="I220" s="57" t="e">
        <f>SUM(I221:I228)</f>
        <v>#REF!</v>
      </c>
      <c r="J220" s="18" t="e">
        <f>SUM(J221:J228)</f>
        <v>#REF!</v>
      </c>
    </row>
    <row r="221" spans="1:10" s="17" customFormat="1" ht="15.75" customHeight="1">
      <c r="A221" s="65"/>
      <c r="B221" s="65"/>
      <c r="C221" s="43"/>
      <c r="D221" s="43"/>
      <c r="E221" s="45" t="s">
        <v>1587</v>
      </c>
      <c r="F221" s="43"/>
      <c r="G221" s="44" t="e">
        <f t="shared" ref="G221:G228" si="13">SUM(H221:J221)</f>
        <v>#REF!</v>
      </c>
      <c r="H221" s="112">
        <f>TB!G389</f>
        <v>0</v>
      </c>
      <c r="I221" s="55" t="e">
        <f>[1]Sheet1!K387</f>
        <v>#REF!</v>
      </c>
      <c r="J221" s="16" t="e">
        <f>[1]Sheet1!M387</f>
        <v>#REF!</v>
      </c>
    </row>
    <row r="222" spans="1:10" s="17" customFormat="1" ht="15.75" hidden="1" customHeight="1">
      <c r="A222" s="65"/>
      <c r="B222" s="65"/>
      <c r="C222" s="43"/>
      <c r="D222" s="43"/>
      <c r="E222" s="45" t="s">
        <v>92</v>
      </c>
      <c r="F222" s="43"/>
      <c r="G222" s="44" t="e">
        <f t="shared" si="13"/>
        <v>#REF!</v>
      </c>
      <c r="H222" s="112">
        <f>TB!G390</f>
        <v>0</v>
      </c>
      <c r="I222" s="55" t="e">
        <f>[1]Sheet1!K388</f>
        <v>#REF!</v>
      </c>
      <c r="J222" s="16" t="e">
        <f>[1]Sheet1!M388</f>
        <v>#REF!</v>
      </c>
    </row>
    <row r="223" spans="1:10" s="17" customFormat="1" ht="15.75" hidden="1" customHeight="1">
      <c r="A223" s="65"/>
      <c r="B223" s="65"/>
      <c r="C223" s="43"/>
      <c r="D223" s="43"/>
      <c r="E223" s="45" t="s">
        <v>94</v>
      </c>
      <c r="F223" s="43"/>
      <c r="G223" s="44" t="e">
        <f t="shared" si="13"/>
        <v>#REF!</v>
      </c>
      <c r="H223" s="112">
        <f>TB!G391</f>
        <v>0</v>
      </c>
      <c r="I223" s="55" t="e">
        <f>[1]Sheet1!K389</f>
        <v>#REF!</v>
      </c>
      <c r="J223" s="16" t="e">
        <f>[1]Sheet1!M389</f>
        <v>#REF!</v>
      </c>
    </row>
    <row r="224" spans="1:10" s="17" customFormat="1" ht="24" customHeight="1">
      <c r="A224" s="65"/>
      <c r="B224" s="65"/>
      <c r="C224" s="43"/>
      <c r="D224" s="43"/>
      <c r="E224" s="46" t="s">
        <v>1203</v>
      </c>
      <c r="F224" s="73"/>
      <c r="G224" s="44" t="e">
        <f t="shared" si="13"/>
        <v>#REF!</v>
      </c>
      <c r="H224" s="112">
        <f>TB!G392</f>
        <v>0</v>
      </c>
      <c r="I224" s="55" t="e">
        <f>[1]Sheet1!K390</f>
        <v>#REF!</v>
      </c>
      <c r="J224" s="16" t="e">
        <f>[1]Sheet1!M390</f>
        <v>#REF!</v>
      </c>
    </row>
    <row r="225" spans="1:10" s="17" customFormat="1" ht="15.75" hidden="1" customHeight="1">
      <c r="A225" s="65"/>
      <c r="B225" s="65"/>
      <c r="C225" s="43"/>
      <c r="D225" s="43"/>
      <c r="E225" s="45" t="s">
        <v>1205</v>
      </c>
      <c r="F225" s="43"/>
      <c r="G225" s="44" t="e">
        <f t="shared" si="13"/>
        <v>#REF!</v>
      </c>
      <c r="H225" s="112">
        <f>TB!G393</f>
        <v>0</v>
      </c>
      <c r="I225" s="55" t="e">
        <f>[1]Sheet1!K391</f>
        <v>#REF!</v>
      </c>
      <c r="J225" s="16" t="e">
        <f>[1]Sheet1!M391</f>
        <v>#REF!</v>
      </c>
    </row>
    <row r="226" spans="1:10" s="17" customFormat="1" ht="15.75" hidden="1" customHeight="1">
      <c r="A226" s="65"/>
      <c r="B226" s="65"/>
      <c r="C226" s="43"/>
      <c r="D226" s="43"/>
      <c r="E226" s="45" t="s">
        <v>1207</v>
      </c>
      <c r="F226" s="43"/>
      <c r="G226" s="44" t="e">
        <f t="shared" si="13"/>
        <v>#REF!</v>
      </c>
      <c r="H226" s="112">
        <f>TB!G394</f>
        <v>0</v>
      </c>
      <c r="I226" s="55" t="e">
        <f>[1]Sheet1!K392</f>
        <v>#REF!</v>
      </c>
      <c r="J226" s="16" t="e">
        <f>[1]Sheet1!M392</f>
        <v>#REF!</v>
      </c>
    </row>
    <row r="227" spans="1:10" s="17" customFormat="1" ht="24" hidden="1" customHeight="1">
      <c r="A227" s="65"/>
      <c r="B227" s="65"/>
      <c r="C227" s="43"/>
      <c r="D227" s="43"/>
      <c r="E227" s="46" t="s">
        <v>1209</v>
      </c>
      <c r="F227" s="73"/>
      <c r="G227" s="44" t="e">
        <f t="shared" si="13"/>
        <v>#REF!</v>
      </c>
      <c r="H227" s="112">
        <f>TB!G395</f>
        <v>0</v>
      </c>
      <c r="I227" s="55" t="e">
        <f>[1]Sheet1!K393</f>
        <v>#REF!</v>
      </c>
      <c r="J227" s="16" t="e">
        <f>[1]Sheet1!M393</f>
        <v>#REF!</v>
      </c>
    </row>
    <row r="228" spans="1:10" s="17" customFormat="1" ht="15.75" hidden="1" customHeight="1">
      <c r="A228" s="65"/>
      <c r="B228" s="65"/>
      <c r="C228" s="43"/>
      <c r="D228" s="43"/>
      <c r="E228" s="45" t="s">
        <v>1211</v>
      </c>
      <c r="F228" s="43"/>
      <c r="G228" s="44" t="e">
        <f t="shared" si="13"/>
        <v>#REF!</v>
      </c>
      <c r="H228" s="112">
        <f>TB!G396</f>
        <v>0</v>
      </c>
      <c r="I228" s="55" t="e">
        <f>[1]Sheet1!K394</f>
        <v>#REF!</v>
      </c>
      <c r="J228" s="16" t="e">
        <f>[1]Sheet1!M394</f>
        <v>#REF!</v>
      </c>
    </row>
    <row r="229" spans="1:10" s="17" customFormat="1" ht="15.75" hidden="1" customHeight="1">
      <c r="A229" s="65"/>
      <c r="B229" s="65"/>
      <c r="C229" s="43"/>
      <c r="D229" s="43" t="s">
        <v>638</v>
      </c>
      <c r="E229" s="43"/>
      <c r="F229" s="45"/>
      <c r="G229" s="72" t="e">
        <f>SUM(G230:G231)</f>
        <v>#REF!</v>
      </c>
      <c r="H229" s="113">
        <f>SUM(H230:H231)</f>
        <v>0</v>
      </c>
      <c r="I229" s="57" t="e">
        <f>SUM(I230:I231)</f>
        <v>#REF!</v>
      </c>
      <c r="J229" s="18" t="e">
        <f>SUM(J230:J231)</f>
        <v>#REF!</v>
      </c>
    </row>
    <row r="230" spans="1:10" s="17" customFormat="1" ht="15.75" hidden="1" customHeight="1">
      <c r="A230" s="65"/>
      <c r="B230" s="65"/>
      <c r="C230" s="43"/>
      <c r="D230" s="43"/>
      <c r="E230" s="45" t="s">
        <v>1213</v>
      </c>
      <c r="F230" s="43"/>
      <c r="G230" s="44" t="e">
        <f>SUM(H230:J230)</f>
        <v>#REF!</v>
      </c>
      <c r="H230" s="112">
        <f>TB!G397</f>
        <v>0</v>
      </c>
      <c r="I230" s="55" t="e">
        <f>[1]Sheet1!K395</f>
        <v>#REF!</v>
      </c>
      <c r="J230" s="16" t="e">
        <f>[1]Sheet1!M395</f>
        <v>#REF!</v>
      </c>
    </row>
    <row r="231" spans="1:10" s="17" customFormat="1" ht="15.75" hidden="1" customHeight="1">
      <c r="A231" s="65"/>
      <c r="B231" s="65"/>
      <c r="C231" s="43"/>
      <c r="D231" s="43"/>
      <c r="E231" s="45" t="s">
        <v>1215</v>
      </c>
      <c r="F231" s="43"/>
      <c r="G231" s="44" t="e">
        <f>SUM(H231:J231)</f>
        <v>#REF!</v>
      </c>
      <c r="H231" s="112">
        <f>TB!G398</f>
        <v>0</v>
      </c>
      <c r="I231" s="55" t="e">
        <f>[1]Sheet1!K396</f>
        <v>#REF!</v>
      </c>
      <c r="J231" s="16" t="e">
        <f>[1]Sheet1!M396</f>
        <v>#REF!</v>
      </c>
    </row>
    <row r="232" spans="1:10" s="17" customFormat="1" ht="15.75" customHeight="1">
      <c r="A232" s="65"/>
      <c r="B232" s="65"/>
      <c r="C232" s="43"/>
      <c r="D232" s="43" t="s">
        <v>639</v>
      </c>
      <c r="E232" s="43"/>
      <c r="F232" s="45"/>
      <c r="G232" s="72" t="e">
        <f>SUM(G233:G236)</f>
        <v>#REF!</v>
      </c>
      <c r="H232" s="113">
        <f>SUM(H233:H236)</f>
        <v>0</v>
      </c>
      <c r="I232" s="57" t="e">
        <f>SUM(I233:I236)</f>
        <v>#REF!</v>
      </c>
      <c r="J232" s="18" t="e">
        <f>SUM(J233:J236)</f>
        <v>#REF!</v>
      </c>
    </row>
    <row r="233" spans="1:10" s="17" customFormat="1" ht="15.75" hidden="1" customHeight="1">
      <c r="A233" s="65"/>
      <c r="B233" s="65"/>
      <c r="C233" s="43"/>
      <c r="D233" s="43"/>
      <c r="E233" s="45" t="s">
        <v>1801</v>
      </c>
      <c r="F233" s="43"/>
      <c r="G233" s="44" t="e">
        <f>SUM(H233:J233)</f>
        <v>#REF!</v>
      </c>
      <c r="H233" s="112">
        <f>TB!G405</f>
        <v>0</v>
      </c>
      <c r="I233" s="55" t="e">
        <f>[1]Sheet1!K403</f>
        <v>#REF!</v>
      </c>
      <c r="J233" s="16" t="e">
        <f>[1]Sheet1!M403</f>
        <v>#REF!</v>
      </c>
    </row>
    <row r="234" spans="1:10" s="17" customFormat="1" ht="15.75" hidden="1" customHeight="1">
      <c r="A234" s="65"/>
      <c r="B234" s="65"/>
      <c r="C234" s="43"/>
      <c r="D234" s="43"/>
      <c r="E234" s="45" t="s">
        <v>1803</v>
      </c>
      <c r="F234" s="43"/>
      <c r="G234" s="44" t="e">
        <f>SUM(H234:J234)</f>
        <v>#REF!</v>
      </c>
      <c r="H234" s="112">
        <f>TB!G406</f>
        <v>0</v>
      </c>
      <c r="I234" s="55" t="e">
        <f>[1]Sheet1!K404</f>
        <v>#REF!</v>
      </c>
      <c r="J234" s="16" t="e">
        <f>[1]Sheet1!M404</f>
        <v>#REF!</v>
      </c>
    </row>
    <row r="235" spans="1:10" s="17" customFormat="1" ht="15.75" hidden="1" customHeight="1">
      <c r="A235" s="65"/>
      <c r="B235" s="65"/>
      <c r="C235" s="43"/>
      <c r="D235" s="43"/>
      <c r="E235" s="45" t="s">
        <v>1805</v>
      </c>
      <c r="F235" s="43"/>
      <c r="G235" s="44" t="e">
        <f>SUM(H235:J235)</f>
        <v>#REF!</v>
      </c>
      <c r="H235" s="112">
        <f>TB!G407</f>
        <v>0</v>
      </c>
      <c r="I235" s="55" t="e">
        <f>[1]Sheet1!K405</f>
        <v>#REF!</v>
      </c>
      <c r="J235" s="16" t="e">
        <f>[1]Sheet1!M405</f>
        <v>#REF!</v>
      </c>
    </row>
    <row r="236" spans="1:10" s="17" customFormat="1" ht="15.75" customHeight="1">
      <c r="A236" s="65"/>
      <c r="B236" s="65"/>
      <c r="C236" s="43"/>
      <c r="D236" s="43"/>
      <c r="E236" s="45" t="s">
        <v>1807</v>
      </c>
      <c r="F236" s="43"/>
      <c r="G236" s="44" t="e">
        <f>SUM(H236:J236)</f>
        <v>#REF!</v>
      </c>
      <c r="H236" s="112">
        <f>TB!G408</f>
        <v>0</v>
      </c>
      <c r="I236" s="55" t="e">
        <f>[1]Sheet1!K406</f>
        <v>#REF!</v>
      </c>
      <c r="J236" s="16" t="e">
        <f>[1]Sheet1!M406</f>
        <v>#REF!</v>
      </c>
    </row>
    <row r="237" spans="1:10" s="17" customFormat="1" ht="15.75" customHeight="1">
      <c r="A237" s="65"/>
      <c r="B237" s="65"/>
      <c r="C237" s="43"/>
      <c r="D237" s="43" t="s">
        <v>640</v>
      </c>
      <c r="E237" s="43"/>
      <c r="F237" s="45"/>
      <c r="G237" s="72" t="e">
        <f>SUM(G238:G240)</f>
        <v>#REF!</v>
      </c>
      <c r="H237" s="113">
        <f>SUM(H238:H240)</f>
        <v>0</v>
      </c>
      <c r="I237" s="57" t="e">
        <f>SUM(I238:I240)</f>
        <v>#REF!</v>
      </c>
      <c r="J237" s="18" t="e">
        <f>SUM(J238:J240)</f>
        <v>#REF!</v>
      </c>
    </row>
    <row r="238" spans="1:10" s="17" customFormat="1" ht="15.75" customHeight="1">
      <c r="A238" s="65"/>
      <c r="B238" s="65"/>
      <c r="C238" s="43"/>
      <c r="D238" s="43"/>
      <c r="E238" s="45" t="s">
        <v>1809</v>
      </c>
      <c r="F238" s="43"/>
      <c r="G238" s="44" t="e">
        <f>SUM(H238:J238)</f>
        <v>#REF!</v>
      </c>
      <c r="H238" s="112">
        <f>TB!G409</f>
        <v>0</v>
      </c>
      <c r="I238" s="55" t="e">
        <f>[1]Sheet1!K407</f>
        <v>#REF!</v>
      </c>
      <c r="J238" s="16" t="e">
        <f>[1]Sheet1!M407</f>
        <v>#REF!</v>
      </c>
    </row>
    <row r="239" spans="1:10" s="17" customFormat="1" ht="15.75" customHeight="1">
      <c r="A239" s="65"/>
      <c r="B239" s="65"/>
      <c r="C239" s="43"/>
      <c r="D239" s="43"/>
      <c r="E239" s="45" t="s">
        <v>1811</v>
      </c>
      <c r="F239" s="43"/>
      <c r="G239" s="44" t="e">
        <f>SUM(H239:J239)</f>
        <v>#REF!</v>
      </c>
      <c r="H239" s="112">
        <f>TB!G410</f>
        <v>0</v>
      </c>
      <c r="I239" s="55" t="e">
        <f>[1]Sheet1!K408</f>
        <v>#REF!</v>
      </c>
      <c r="J239" s="16" t="e">
        <f>[1]Sheet1!M408</f>
        <v>#REF!</v>
      </c>
    </row>
    <row r="240" spans="1:10" s="17" customFormat="1" ht="15.75" customHeight="1">
      <c r="A240" s="65"/>
      <c r="B240" s="65"/>
      <c r="C240" s="43"/>
      <c r="D240" s="43"/>
      <c r="E240" s="45" t="s">
        <v>1144</v>
      </c>
      <c r="F240" s="43"/>
      <c r="G240" s="44" t="e">
        <f>SUM(H240:J240)</f>
        <v>#REF!</v>
      </c>
      <c r="H240" s="112">
        <f>TB!G411</f>
        <v>0</v>
      </c>
      <c r="I240" s="55" t="e">
        <f>[1]Sheet1!K409</f>
        <v>#REF!</v>
      </c>
      <c r="J240" s="16" t="e">
        <f>[1]Sheet1!M409</f>
        <v>#REF!</v>
      </c>
    </row>
    <row r="241" spans="1:10" s="17" customFormat="1" ht="15.75" hidden="1" customHeight="1">
      <c r="A241" s="65"/>
      <c r="B241" s="65"/>
      <c r="C241" s="43"/>
      <c r="D241" s="43" t="s">
        <v>641</v>
      </c>
      <c r="E241" s="43"/>
      <c r="F241" s="45"/>
      <c r="G241" s="72" t="e">
        <f>+G242+G243+G285+G286+G289</f>
        <v>#REF!</v>
      </c>
      <c r="H241" s="113">
        <f>+H242+H243+H285+H286+H289</f>
        <v>0</v>
      </c>
      <c r="I241" s="57" t="e">
        <f>+I242+I243+I285+I286+I289</f>
        <v>#REF!</v>
      </c>
      <c r="J241" s="18" t="e">
        <f>+J242+J243+J285+J286+J289</f>
        <v>#REF!</v>
      </c>
    </row>
    <row r="242" spans="1:10" s="17" customFormat="1" ht="15.75" hidden="1" customHeight="1">
      <c r="A242" s="65"/>
      <c r="B242" s="65"/>
      <c r="C242" s="43"/>
      <c r="D242" s="43"/>
      <c r="E242" s="45" t="s">
        <v>1146</v>
      </c>
      <c r="F242" s="45"/>
      <c r="G242" s="44" t="e">
        <f>SUM(H242:J242)</f>
        <v>#REF!</v>
      </c>
      <c r="H242" s="112">
        <f>TB!G412</f>
        <v>0</v>
      </c>
      <c r="I242" s="55" t="e">
        <f>[1]Sheet1!K410</f>
        <v>#REF!</v>
      </c>
      <c r="J242" s="16" t="e">
        <f>[1]Sheet1!M410</f>
        <v>#REF!</v>
      </c>
    </row>
    <row r="243" spans="1:10" s="17" customFormat="1" ht="15.75" hidden="1" customHeight="1">
      <c r="A243" s="65"/>
      <c r="B243" s="65"/>
      <c r="C243" s="43"/>
      <c r="D243" s="43"/>
      <c r="E243" s="45" t="s">
        <v>642</v>
      </c>
      <c r="F243" s="45"/>
      <c r="G243" s="72" t="e">
        <f>+G244+G249+G255+G259+G264+G277+G283</f>
        <v>#REF!</v>
      </c>
      <c r="H243" s="113">
        <f>+H244+H249+H255+H259+H264+H277+H283</f>
        <v>0</v>
      </c>
      <c r="I243" s="57" t="e">
        <f>+I244+I249+I255+I259+I264+I277+I283</f>
        <v>#REF!</v>
      </c>
      <c r="J243" s="18" t="e">
        <f>+J244+J249+J255+J259+J264+J277+J283</f>
        <v>#REF!</v>
      </c>
    </row>
    <row r="244" spans="1:10" s="17" customFormat="1" ht="15.75" hidden="1" customHeight="1">
      <c r="A244" s="65"/>
      <c r="B244" s="65"/>
      <c r="C244" s="43"/>
      <c r="D244" s="43"/>
      <c r="E244" s="43" t="s">
        <v>980</v>
      </c>
      <c r="F244" s="45"/>
      <c r="G244" s="72" t="e">
        <f>SUM(G245:G248)</f>
        <v>#REF!</v>
      </c>
      <c r="H244" s="113">
        <f>SUM(H245:H248)</f>
        <v>0</v>
      </c>
      <c r="I244" s="57" t="e">
        <f>SUM(I245:I248)</f>
        <v>#REF!</v>
      </c>
      <c r="J244" s="18" t="e">
        <f>SUM(J245:J248)</f>
        <v>#REF!</v>
      </c>
    </row>
    <row r="245" spans="1:10" s="17" customFormat="1" ht="15.75" hidden="1" customHeight="1">
      <c r="A245" s="65"/>
      <c r="B245" s="65"/>
      <c r="C245" s="43"/>
      <c r="D245" s="43"/>
      <c r="E245" s="43"/>
      <c r="F245" s="45" t="s">
        <v>1148</v>
      </c>
      <c r="G245" s="44" t="e">
        <f>SUM(H245:J245)</f>
        <v>#REF!</v>
      </c>
      <c r="H245" s="112">
        <f>TB!G413</f>
        <v>0</v>
      </c>
      <c r="I245" s="55" t="e">
        <f>[1]Sheet1!K411</f>
        <v>#REF!</v>
      </c>
      <c r="J245" s="16" t="e">
        <f>[1]Sheet1!M411</f>
        <v>#REF!</v>
      </c>
    </row>
    <row r="246" spans="1:10" s="17" customFormat="1" ht="15.75" hidden="1" customHeight="1">
      <c r="A246" s="65"/>
      <c r="B246" s="65"/>
      <c r="C246" s="43"/>
      <c r="D246" s="43"/>
      <c r="E246" s="43"/>
      <c r="F246" s="45" t="s">
        <v>1150</v>
      </c>
      <c r="G246" s="44" t="e">
        <f>SUM(H246:J246)</f>
        <v>#REF!</v>
      </c>
      <c r="H246" s="112">
        <f>TB!G414</f>
        <v>0</v>
      </c>
      <c r="I246" s="55" t="e">
        <f>[1]Sheet1!K412</f>
        <v>#REF!</v>
      </c>
      <c r="J246" s="16" t="e">
        <f>[1]Sheet1!M412</f>
        <v>#REF!</v>
      </c>
    </row>
    <row r="247" spans="1:10" s="17" customFormat="1" ht="15.75" hidden="1" customHeight="1">
      <c r="A247" s="65"/>
      <c r="B247" s="65"/>
      <c r="C247" s="43"/>
      <c r="D247" s="43"/>
      <c r="E247" s="43"/>
      <c r="F247" s="45" t="s">
        <v>1152</v>
      </c>
      <c r="G247" s="44" t="e">
        <f>SUM(H247:J247)</f>
        <v>#REF!</v>
      </c>
      <c r="H247" s="112">
        <f>TB!G415</f>
        <v>0</v>
      </c>
      <c r="I247" s="55" t="e">
        <f>[1]Sheet1!K413</f>
        <v>#REF!</v>
      </c>
      <c r="J247" s="16" t="e">
        <f>[1]Sheet1!M413</f>
        <v>#REF!</v>
      </c>
    </row>
    <row r="248" spans="1:10" s="17" customFormat="1" ht="15.75" hidden="1" customHeight="1">
      <c r="A248" s="65"/>
      <c r="B248" s="65"/>
      <c r="C248" s="43"/>
      <c r="D248" s="43"/>
      <c r="E248" s="43"/>
      <c r="F248" s="45" t="s">
        <v>1154</v>
      </c>
      <c r="G248" s="44" t="e">
        <f>SUM(H248:J248)</f>
        <v>#REF!</v>
      </c>
      <c r="H248" s="112">
        <f>TB!G416</f>
        <v>0</v>
      </c>
      <c r="I248" s="55" t="e">
        <f>[1]Sheet1!K414</f>
        <v>#REF!</v>
      </c>
      <c r="J248" s="16" t="e">
        <f>[1]Sheet1!M414</f>
        <v>#REF!</v>
      </c>
    </row>
    <row r="249" spans="1:10" s="17" customFormat="1" ht="15.75" hidden="1" customHeight="1">
      <c r="A249" s="65"/>
      <c r="B249" s="65"/>
      <c r="C249" s="43"/>
      <c r="D249" s="43"/>
      <c r="E249" s="43" t="s">
        <v>681</v>
      </c>
      <c r="F249" s="45"/>
      <c r="G249" s="72" t="e">
        <f>SUM(G250:G254)</f>
        <v>#REF!</v>
      </c>
      <c r="H249" s="113">
        <f>SUM(H250:H254)</f>
        <v>0</v>
      </c>
      <c r="I249" s="57" t="e">
        <f>SUM(I250:I254)</f>
        <v>#REF!</v>
      </c>
      <c r="J249" s="18" t="e">
        <f>SUM(J250:J254)</f>
        <v>#REF!</v>
      </c>
    </row>
    <row r="250" spans="1:10" s="17" customFormat="1" ht="15.75" hidden="1" customHeight="1">
      <c r="A250" s="65"/>
      <c r="B250" s="65"/>
      <c r="C250" s="43"/>
      <c r="D250" s="43"/>
      <c r="E250" s="43"/>
      <c r="F250" s="45" t="s">
        <v>1156</v>
      </c>
      <c r="G250" s="44" t="e">
        <f>SUM(H250:J250)</f>
        <v>#REF!</v>
      </c>
      <c r="H250" s="112">
        <f>TB!G417</f>
        <v>0</v>
      </c>
      <c r="I250" s="55" t="e">
        <f>[1]Sheet1!K415</f>
        <v>#REF!</v>
      </c>
      <c r="J250" s="16" t="e">
        <f>[1]Sheet1!M415</f>
        <v>#REF!</v>
      </c>
    </row>
    <row r="251" spans="1:10" s="17" customFormat="1" ht="15.75" hidden="1" customHeight="1">
      <c r="A251" s="65"/>
      <c r="B251" s="65"/>
      <c r="C251" s="43"/>
      <c r="D251" s="43"/>
      <c r="E251" s="43"/>
      <c r="F251" s="45" t="s">
        <v>1158</v>
      </c>
      <c r="G251" s="44" t="e">
        <f>SUM(H251:J251)</f>
        <v>#REF!</v>
      </c>
      <c r="H251" s="112">
        <f>TB!G418</f>
        <v>0</v>
      </c>
      <c r="I251" s="55" t="e">
        <f>[1]Sheet1!K416</f>
        <v>#REF!</v>
      </c>
      <c r="J251" s="16" t="e">
        <f>[1]Sheet1!M416</f>
        <v>#REF!</v>
      </c>
    </row>
    <row r="252" spans="1:10" s="17" customFormat="1" ht="15.75" hidden="1" customHeight="1">
      <c r="A252" s="65"/>
      <c r="B252" s="65"/>
      <c r="C252" s="43"/>
      <c r="D252" s="43"/>
      <c r="E252" s="43"/>
      <c r="F252" s="45" t="s">
        <v>1062</v>
      </c>
      <c r="G252" s="44" t="e">
        <f>SUM(H252:J252)</f>
        <v>#REF!</v>
      </c>
      <c r="H252" s="112">
        <f>TB!G419</f>
        <v>0</v>
      </c>
      <c r="I252" s="55" t="e">
        <f>[1]Sheet1!K417</f>
        <v>#REF!</v>
      </c>
      <c r="J252" s="16" t="e">
        <f>[1]Sheet1!M417</f>
        <v>#REF!</v>
      </c>
    </row>
    <row r="253" spans="1:10" s="17" customFormat="1" ht="15.75" hidden="1" customHeight="1">
      <c r="A253" s="65"/>
      <c r="B253" s="65"/>
      <c r="C253" s="43"/>
      <c r="D253" s="43"/>
      <c r="E253" s="43"/>
      <c r="F253" s="45" t="s">
        <v>1064</v>
      </c>
      <c r="G253" s="44" t="e">
        <f>SUM(H253:J253)</f>
        <v>#REF!</v>
      </c>
      <c r="H253" s="112">
        <f>TB!G420</f>
        <v>0</v>
      </c>
      <c r="I253" s="55" t="e">
        <f>[1]Sheet1!K418</f>
        <v>#REF!</v>
      </c>
      <c r="J253" s="16" t="e">
        <f>[1]Sheet1!M418</f>
        <v>#REF!</v>
      </c>
    </row>
    <row r="254" spans="1:10" s="17" customFormat="1" ht="15.75" hidden="1" customHeight="1">
      <c r="A254" s="65"/>
      <c r="B254" s="65"/>
      <c r="C254" s="43"/>
      <c r="D254" s="43"/>
      <c r="E254" s="43"/>
      <c r="F254" s="45" t="s">
        <v>1179</v>
      </c>
      <c r="G254" s="44" t="e">
        <f>SUM(H254:J254)</f>
        <v>#REF!</v>
      </c>
      <c r="H254" s="112">
        <f>TB!G421</f>
        <v>0</v>
      </c>
      <c r="I254" s="55" t="e">
        <f>[1]Sheet1!K419</f>
        <v>#REF!</v>
      </c>
      <c r="J254" s="16" t="e">
        <f>[1]Sheet1!M419</f>
        <v>#REF!</v>
      </c>
    </row>
    <row r="255" spans="1:10" s="17" customFormat="1" ht="15.75" hidden="1" customHeight="1">
      <c r="A255" s="65"/>
      <c r="B255" s="65"/>
      <c r="C255" s="43"/>
      <c r="D255" s="43"/>
      <c r="E255" s="43" t="s">
        <v>632</v>
      </c>
      <c r="F255" s="45"/>
      <c r="G255" s="72" t="e">
        <f>SUM(G256:G258)</f>
        <v>#REF!</v>
      </c>
      <c r="H255" s="113">
        <f>SUM(H256:H258)</f>
        <v>0</v>
      </c>
      <c r="I255" s="57" t="e">
        <f>SUM(I256:I258)</f>
        <v>#REF!</v>
      </c>
      <c r="J255" s="18" t="e">
        <f>SUM(J256:J258)</f>
        <v>#REF!</v>
      </c>
    </row>
    <row r="256" spans="1:10" s="17" customFormat="1" ht="15.75" hidden="1" customHeight="1">
      <c r="A256" s="65"/>
      <c r="B256" s="65"/>
      <c r="C256" s="43"/>
      <c r="D256" s="43"/>
      <c r="E256" s="43"/>
      <c r="F256" s="45" t="s">
        <v>1181</v>
      </c>
      <c r="G256" s="44" t="e">
        <f>SUM(H256:J256)</f>
        <v>#REF!</v>
      </c>
      <c r="H256" s="112">
        <f>TB!G422</f>
        <v>0</v>
      </c>
      <c r="I256" s="55" t="e">
        <f>[1]Sheet1!K420</f>
        <v>#REF!</v>
      </c>
      <c r="J256" s="16" t="e">
        <f>[1]Sheet1!M420</f>
        <v>#REF!</v>
      </c>
    </row>
    <row r="257" spans="1:10" s="17" customFormat="1" ht="15.75" hidden="1" customHeight="1">
      <c r="A257" s="65"/>
      <c r="B257" s="65"/>
      <c r="C257" s="43"/>
      <c r="D257" s="43"/>
      <c r="E257" s="43"/>
      <c r="F257" s="45" t="s">
        <v>2069</v>
      </c>
      <c r="G257" s="44" t="e">
        <f>SUM(H257:J257)</f>
        <v>#REF!</v>
      </c>
      <c r="H257" s="112">
        <f>TB!G423</f>
        <v>0</v>
      </c>
      <c r="I257" s="55" t="e">
        <f>[1]Sheet1!K421</f>
        <v>#REF!</v>
      </c>
      <c r="J257" s="16" t="e">
        <f>[1]Sheet1!M421</f>
        <v>#REF!</v>
      </c>
    </row>
    <row r="258" spans="1:10" s="17" customFormat="1" ht="15.75" hidden="1" customHeight="1">
      <c r="A258" s="65"/>
      <c r="B258" s="65"/>
      <c r="C258" s="43"/>
      <c r="D258" s="43"/>
      <c r="E258" s="43"/>
      <c r="F258" s="45" t="s">
        <v>2071</v>
      </c>
      <c r="G258" s="44" t="e">
        <f>SUM(H258:J258)</f>
        <v>#REF!</v>
      </c>
      <c r="H258" s="112">
        <f>TB!G424</f>
        <v>0</v>
      </c>
      <c r="I258" s="55" t="e">
        <f>[1]Sheet1!K422</f>
        <v>#REF!</v>
      </c>
      <c r="J258" s="16" t="e">
        <f>[1]Sheet1!M422</f>
        <v>#REF!</v>
      </c>
    </row>
    <row r="259" spans="1:10" s="17" customFormat="1" ht="15.75" hidden="1" customHeight="1">
      <c r="A259" s="65"/>
      <c r="B259" s="65"/>
      <c r="C259" s="43"/>
      <c r="D259" s="43"/>
      <c r="E259" s="43" t="s">
        <v>623</v>
      </c>
      <c r="F259" s="45"/>
      <c r="G259" s="90" t="e">
        <f>SUM(G260:G263)</f>
        <v>#REF!</v>
      </c>
      <c r="H259" s="113">
        <f>SUM(H260:H263)</f>
        <v>0</v>
      </c>
      <c r="I259" s="60" t="e">
        <f>SUM(I260:I263)</f>
        <v>#REF!</v>
      </c>
      <c r="J259" s="8" t="e">
        <f>SUM(J260:J263)</f>
        <v>#REF!</v>
      </c>
    </row>
    <row r="260" spans="1:10" s="17" customFormat="1" ht="15.75" hidden="1" customHeight="1">
      <c r="A260" s="65"/>
      <c r="B260" s="65"/>
      <c r="C260" s="43"/>
      <c r="D260" s="43"/>
      <c r="E260" s="43"/>
      <c r="F260" s="45" t="s">
        <v>2073</v>
      </c>
      <c r="G260" s="44" t="e">
        <f>SUM(H260:J260)</f>
        <v>#REF!</v>
      </c>
      <c r="H260" s="112">
        <f>TB!G425</f>
        <v>0</v>
      </c>
      <c r="I260" s="55" t="e">
        <f>[1]Sheet1!K423</f>
        <v>#REF!</v>
      </c>
      <c r="J260" s="16" t="e">
        <f>[1]Sheet1!M423</f>
        <v>#REF!</v>
      </c>
    </row>
    <row r="261" spans="1:10" s="17" customFormat="1" ht="15.75" hidden="1" customHeight="1">
      <c r="A261" s="65"/>
      <c r="B261" s="65"/>
      <c r="C261" s="43"/>
      <c r="D261" s="43"/>
      <c r="E261" s="43"/>
      <c r="F261" s="45" t="s">
        <v>2075</v>
      </c>
      <c r="G261" s="44" t="e">
        <f>SUM(H261:J261)</f>
        <v>#REF!</v>
      </c>
      <c r="H261" s="112">
        <f>TB!G426</f>
        <v>0</v>
      </c>
      <c r="I261" s="55" t="e">
        <f>[1]Sheet1!K424</f>
        <v>#REF!</v>
      </c>
      <c r="J261" s="16" t="e">
        <f>[1]Sheet1!M424</f>
        <v>#REF!</v>
      </c>
    </row>
    <row r="262" spans="1:10" s="17" customFormat="1" ht="15.75" hidden="1" customHeight="1">
      <c r="A262" s="65"/>
      <c r="B262" s="65"/>
      <c r="C262" s="43"/>
      <c r="D262" s="43"/>
      <c r="E262" s="43"/>
      <c r="F262" s="45" t="s">
        <v>2077</v>
      </c>
      <c r="G262" s="44" t="e">
        <f>SUM(H262:J262)</f>
        <v>#REF!</v>
      </c>
      <c r="H262" s="112">
        <f>TB!G427</f>
        <v>0</v>
      </c>
      <c r="I262" s="55" t="e">
        <f>[1]Sheet1!K425</f>
        <v>#REF!</v>
      </c>
      <c r="J262" s="16" t="e">
        <f>[1]Sheet1!M425</f>
        <v>#REF!</v>
      </c>
    </row>
    <row r="263" spans="1:10" s="17" customFormat="1" ht="15.75" hidden="1" customHeight="1">
      <c r="A263" s="65"/>
      <c r="B263" s="65"/>
      <c r="C263" s="43"/>
      <c r="D263" s="43"/>
      <c r="E263" s="43"/>
      <c r="F263" s="45" t="s">
        <v>2079</v>
      </c>
      <c r="G263" s="44" t="e">
        <f>SUM(H263:J263)</f>
        <v>#REF!</v>
      </c>
      <c r="H263" s="112">
        <f>TB!G428</f>
        <v>0</v>
      </c>
      <c r="I263" s="55" t="e">
        <f>[1]Sheet1!K426</f>
        <v>#REF!</v>
      </c>
      <c r="J263" s="16" t="e">
        <f>[1]Sheet1!M426</f>
        <v>#REF!</v>
      </c>
    </row>
    <row r="264" spans="1:10" s="17" customFormat="1" ht="15.75" hidden="1" customHeight="1">
      <c r="A264" s="65"/>
      <c r="B264" s="65"/>
      <c r="C264" s="43"/>
      <c r="D264" s="43"/>
      <c r="E264" s="43" t="s">
        <v>634</v>
      </c>
      <c r="F264" s="45"/>
      <c r="G264" s="72" t="e">
        <f>SUM(G265:G276)</f>
        <v>#REF!</v>
      </c>
      <c r="H264" s="113">
        <f>SUM(H265:H276)</f>
        <v>0</v>
      </c>
      <c r="I264" s="57" t="e">
        <f>SUM(I265:I276)</f>
        <v>#REF!</v>
      </c>
      <c r="J264" s="18" t="e">
        <f>SUM(J265:J276)</f>
        <v>#REF!</v>
      </c>
    </row>
    <row r="265" spans="1:10" s="17" customFormat="1" ht="15.75" hidden="1" customHeight="1">
      <c r="A265" s="65"/>
      <c r="B265" s="65"/>
      <c r="C265" s="43"/>
      <c r="D265" s="43"/>
      <c r="E265" s="43"/>
      <c r="F265" s="45" t="s">
        <v>1099</v>
      </c>
      <c r="G265" s="44" t="e">
        <f t="shared" ref="G265:G276" si="14">SUM(H265:J265)</f>
        <v>#REF!</v>
      </c>
      <c r="H265" s="112">
        <f>TB!G429</f>
        <v>0</v>
      </c>
      <c r="I265" s="55" t="e">
        <f>[1]Sheet1!K427</f>
        <v>#REF!</v>
      </c>
      <c r="J265" s="16" t="e">
        <f>[1]Sheet1!M427</f>
        <v>#REF!</v>
      </c>
    </row>
    <row r="266" spans="1:10" s="17" customFormat="1" ht="15.75" hidden="1" customHeight="1">
      <c r="A266" s="65"/>
      <c r="B266" s="65"/>
      <c r="C266" s="43"/>
      <c r="D266" s="43"/>
      <c r="E266" s="43"/>
      <c r="F266" s="45" t="s">
        <v>1101</v>
      </c>
      <c r="G266" s="44" t="e">
        <f t="shared" si="14"/>
        <v>#REF!</v>
      </c>
      <c r="H266" s="112">
        <f>TB!G430</f>
        <v>0</v>
      </c>
      <c r="I266" s="55" t="e">
        <f>[1]Sheet1!K428</f>
        <v>#REF!</v>
      </c>
      <c r="J266" s="16" t="e">
        <f>[1]Sheet1!M428</f>
        <v>#REF!</v>
      </c>
    </row>
    <row r="267" spans="1:10" s="17" customFormat="1" ht="15.75" hidden="1" customHeight="1">
      <c r="A267" s="65"/>
      <c r="B267" s="65"/>
      <c r="C267" s="43"/>
      <c r="D267" s="43"/>
      <c r="E267" s="43"/>
      <c r="F267" s="45" t="s">
        <v>414</v>
      </c>
      <c r="G267" s="44" t="e">
        <f t="shared" si="14"/>
        <v>#REF!</v>
      </c>
      <c r="H267" s="112">
        <f>TB!G431</f>
        <v>0</v>
      </c>
      <c r="I267" s="55" t="e">
        <f>[1]Sheet1!K429</f>
        <v>#REF!</v>
      </c>
      <c r="J267" s="16" t="e">
        <f>[1]Sheet1!M429</f>
        <v>#REF!</v>
      </c>
    </row>
    <row r="268" spans="1:10" s="17" customFormat="1" ht="15.75" hidden="1" customHeight="1">
      <c r="A268" s="65"/>
      <c r="B268" s="65"/>
      <c r="C268" s="43"/>
      <c r="D268" s="43"/>
      <c r="E268" s="43"/>
      <c r="F268" s="45" t="s">
        <v>416</v>
      </c>
      <c r="G268" s="44" t="e">
        <f t="shared" si="14"/>
        <v>#REF!</v>
      </c>
      <c r="H268" s="112">
        <f>TB!G432</f>
        <v>0</v>
      </c>
      <c r="I268" s="55" t="e">
        <f>[1]Sheet1!K430</f>
        <v>#REF!</v>
      </c>
      <c r="J268" s="16" t="e">
        <f>[1]Sheet1!M430</f>
        <v>#REF!</v>
      </c>
    </row>
    <row r="269" spans="1:10" s="17" customFormat="1" ht="15.75" hidden="1" customHeight="1">
      <c r="A269" s="65"/>
      <c r="B269" s="65"/>
      <c r="C269" s="43"/>
      <c r="D269" s="43"/>
      <c r="E269" s="43"/>
      <c r="F269" s="45" t="s">
        <v>418</v>
      </c>
      <c r="G269" s="44" t="e">
        <f t="shared" si="14"/>
        <v>#REF!</v>
      </c>
      <c r="H269" s="112">
        <f>TB!G433</f>
        <v>0</v>
      </c>
      <c r="I269" s="55" t="e">
        <f>[1]Sheet1!K431</f>
        <v>#REF!</v>
      </c>
      <c r="J269" s="16" t="e">
        <f>[1]Sheet1!M431</f>
        <v>#REF!</v>
      </c>
    </row>
    <row r="270" spans="1:10" s="17" customFormat="1" ht="15.75" hidden="1" customHeight="1">
      <c r="A270" s="65"/>
      <c r="B270" s="65"/>
      <c r="C270" s="43"/>
      <c r="D270" s="43"/>
      <c r="E270" s="43"/>
      <c r="F270" s="45" t="s">
        <v>420</v>
      </c>
      <c r="G270" s="44" t="e">
        <f t="shared" si="14"/>
        <v>#REF!</v>
      </c>
      <c r="H270" s="112">
        <f>TB!G434</f>
        <v>0</v>
      </c>
      <c r="I270" s="55" t="e">
        <f>[1]Sheet1!K432</f>
        <v>#REF!</v>
      </c>
      <c r="J270" s="16" t="e">
        <f>[1]Sheet1!M432</f>
        <v>#REF!</v>
      </c>
    </row>
    <row r="271" spans="1:10" s="17" customFormat="1" ht="15.75" hidden="1" customHeight="1">
      <c r="A271" s="65"/>
      <c r="B271" s="65"/>
      <c r="C271" s="43"/>
      <c r="D271" s="43"/>
      <c r="E271" s="43"/>
      <c r="F271" s="45" t="s">
        <v>422</v>
      </c>
      <c r="G271" s="44" t="e">
        <f t="shared" si="14"/>
        <v>#REF!</v>
      </c>
      <c r="H271" s="112">
        <f>TB!G435</f>
        <v>0</v>
      </c>
      <c r="I271" s="55" t="e">
        <f>[1]Sheet1!K433</f>
        <v>#REF!</v>
      </c>
      <c r="J271" s="16" t="e">
        <f>[1]Sheet1!M433</f>
        <v>#REF!</v>
      </c>
    </row>
    <row r="272" spans="1:10" s="17" customFormat="1" ht="15.75" hidden="1" customHeight="1">
      <c r="A272" s="65"/>
      <c r="B272" s="65"/>
      <c r="C272" s="43"/>
      <c r="D272" s="43"/>
      <c r="E272" s="43"/>
      <c r="F272" s="45" t="s">
        <v>424</v>
      </c>
      <c r="G272" s="44" t="e">
        <f t="shared" si="14"/>
        <v>#REF!</v>
      </c>
      <c r="H272" s="112">
        <f>TB!G436</f>
        <v>0</v>
      </c>
      <c r="I272" s="55" t="e">
        <f>[1]Sheet1!K434</f>
        <v>#REF!</v>
      </c>
      <c r="J272" s="16" t="e">
        <f>[1]Sheet1!M434</f>
        <v>#REF!</v>
      </c>
    </row>
    <row r="273" spans="1:10" s="17" customFormat="1" ht="15.75" hidden="1" customHeight="1">
      <c r="A273" s="65"/>
      <c r="B273" s="65"/>
      <c r="C273" s="43"/>
      <c r="D273" s="43"/>
      <c r="E273" s="43"/>
      <c r="F273" s="45" t="s">
        <v>426</v>
      </c>
      <c r="G273" s="44" t="e">
        <f t="shared" si="14"/>
        <v>#REF!</v>
      </c>
      <c r="H273" s="112">
        <f>TB!G437</f>
        <v>0</v>
      </c>
      <c r="I273" s="55" t="e">
        <f>[1]Sheet1!K435</f>
        <v>#REF!</v>
      </c>
      <c r="J273" s="16" t="e">
        <f>[1]Sheet1!M435</f>
        <v>#REF!</v>
      </c>
    </row>
    <row r="274" spans="1:10" s="17" customFormat="1" ht="15.75" hidden="1" customHeight="1">
      <c r="A274" s="65"/>
      <c r="B274" s="65"/>
      <c r="C274" s="43"/>
      <c r="D274" s="43"/>
      <c r="E274" s="43"/>
      <c r="F274" s="45" t="s">
        <v>428</v>
      </c>
      <c r="G274" s="44" t="e">
        <f t="shared" si="14"/>
        <v>#REF!</v>
      </c>
      <c r="H274" s="112">
        <f>TB!G438</f>
        <v>0</v>
      </c>
      <c r="I274" s="55" t="e">
        <f>[1]Sheet1!K436</f>
        <v>#REF!</v>
      </c>
      <c r="J274" s="16" t="e">
        <f>[1]Sheet1!M436</f>
        <v>#REF!</v>
      </c>
    </row>
    <row r="275" spans="1:10" s="17" customFormat="1" ht="15.75" hidden="1" customHeight="1">
      <c r="A275" s="65"/>
      <c r="B275" s="65"/>
      <c r="C275" s="43"/>
      <c r="D275" s="43"/>
      <c r="E275" s="45"/>
      <c r="F275" s="45" t="s">
        <v>430</v>
      </c>
      <c r="G275" s="44" t="e">
        <f t="shared" si="14"/>
        <v>#REF!</v>
      </c>
      <c r="H275" s="112">
        <f>TB!G439</f>
        <v>0</v>
      </c>
      <c r="I275" s="55" t="e">
        <f>[1]Sheet1!K437</f>
        <v>#REF!</v>
      </c>
      <c r="J275" s="16" t="e">
        <f>[1]Sheet1!M437</f>
        <v>#REF!</v>
      </c>
    </row>
    <row r="276" spans="1:10" s="17" customFormat="1" ht="15.75" hidden="1" customHeight="1">
      <c r="A276" s="65"/>
      <c r="B276" s="65"/>
      <c r="C276" s="43"/>
      <c r="D276" s="43"/>
      <c r="E276" s="43"/>
      <c r="F276" s="45" t="s">
        <v>432</v>
      </c>
      <c r="G276" s="44" t="e">
        <f t="shared" si="14"/>
        <v>#REF!</v>
      </c>
      <c r="H276" s="112">
        <f>TB!G440</f>
        <v>0</v>
      </c>
      <c r="I276" s="55" t="e">
        <f>[1]Sheet1!K438</f>
        <v>#REF!</v>
      </c>
      <c r="J276" s="16" t="e">
        <f>[1]Sheet1!M438</f>
        <v>#REF!</v>
      </c>
    </row>
    <row r="277" spans="1:10" s="17" customFormat="1" ht="15.75" hidden="1" customHeight="1">
      <c r="A277" s="65"/>
      <c r="B277" s="65"/>
      <c r="C277" s="43"/>
      <c r="D277" s="43"/>
      <c r="E277" s="43" t="s">
        <v>635</v>
      </c>
      <c r="F277" s="45"/>
      <c r="G277" s="72" t="e">
        <f>SUM(G278:G282)</f>
        <v>#REF!</v>
      </c>
      <c r="H277" s="113">
        <f>SUM(H278:H282)</f>
        <v>0</v>
      </c>
      <c r="I277" s="57" t="e">
        <f>SUM(I278:I282)</f>
        <v>#REF!</v>
      </c>
      <c r="J277" s="18" t="e">
        <f>SUM(J278:J282)</f>
        <v>#REF!</v>
      </c>
    </row>
    <row r="278" spans="1:10" s="17" customFormat="1" ht="15.75" hidden="1" customHeight="1">
      <c r="A278" s="65"/>
      <c r="B278" s="65"/>
      <c r="C278" s="43"/>
      <c r="D278" s="43"/>
      <c r="E278" s="43"/>
      <c r="F278" s="45" t="s">
        <v>434</v>
      </c>
      <c r="G278" s="44" t="e">
        <f>SUM(H278:J278)</f>
        <v>#REF!</v>
      </c>
      <c r="H278" s="112">
        <f>TB!G441</f>
        <v>0</v>
      </c>
      <c r="I278" s="55" t="e">
        <f>[1]Sheet1!K439</f>
        <v>#REF!</v>
      </c>
      <c r="J278" s="16" t="e">
        <f>[1]Sheet1!M439</f>
        <v>#REF!</v>
      </c>
    </row>
    <row r="279" spans="1:10" s="17" customFormat="1" ht="15.75" hidden="1" customHeight="1">
      <c r="A279" s="65"/>
      <c r="B279" s="65"/>
      <c r="C279" s="43"/>
      <c r="D279" s="43"/>
      <c r="E279" s="43"/>
      <c r="F279" s="45" t="s">
        <v>436</v>
      </c>
      <c r="G279" s="44" t="e">
        <f>SUM(H279:J279)</f>
        <v>#REF!</v>
      </c>
      <c r="H279" s="112">
        <f>TB!G442</f>
        <v>0</v>
      </c>
      <c r="I279" s="55" t="e">
        <f>[1]Sheet1!K440</f>
        <v>#REF!</v>
      </c>
      <c r="J279" s="16" t="e">
        <f>[1]Sheet1!M440</f>
        <v>#REF!</v>
      </c>
    </row>
    <row r="280" spans="1:10" s="17" customFormat="1" ht="15.75" hidden="1" customHeight="1">
      <c r="A280" s="65"/>
      <c r="B280" s="65"/>
      <c r="C280" s="43"/>
      <c r="D280" s="43"/>
      <c r="E280" s="43"/>
      <c r="F280" s="45" t="s">
        <v>438</v>
      </c>
      <c r="G280" s="44" t="e">
        <f>SUM(H280:J280)</f>
        <v>#REF!</v>
      </c>
      <c r="H280" s="112">
        <f>TB!G443</f>
        <v>0</v>
      </c>
      <c r="I280" s="55" t="e">
        <f>[1]Sheet1!K441</f>
        <v>#REF!</v>
      </c>
      <c r="J280" s="16" t="e">
        <f>[1]Sheet1!M441</f>
        <v>#REF!</v>
      </c>
    </row>
    <row r="281" spans="1:10" s="17" customFormat="1" ht="15.75" hidden="1" customHeight="1">
      <c r="A281" s="65"/>
      <c r="B281" s="65"/>
      <c r="C281" s="43"/>
      <c r="D281" s="43"/>
      <c r="E281" s="43"/>
      <c r="F281" s="45" t="s">
        <v>440</v>
      </c>
      <c r="G281" s="44" t="e">
        <f>SUM(H281:J281)</f>
        <v>#REF!</v>
      </c>
      <c r="H281" s="112">
        <f>TB!G444</f>
        <v>0</v>
      </c>
      <c r="I281" s="55" t="e">
        <f>[1]Sheet1!K442</f>
        <v>#REF!</v>
      </c>
      <c r="J281" s="16" t="e">
        <f>[1]Sheet1!M442</f>
        <v>#REF!</v>
      </c>
    </row>
    <row r="282" spans="1:10" s="17" customFormat="1" ht="15.75" hidden="1" customHeight="1">
      <c r="A282" s="65"/>
      <c r="B282" s="65"/>
      <c r="C282" s="43"/>
      <c r="D282" s="43"/>
      <c r="E282" s="43"/>
      <c r="F282" s="45" t="s">
        <v>442</v>
      </c>
      <c r="G282" s="44" t="e">
        <f>SUM(H282:J282)</f>
        <v>#REF!</v>
      </c>
      <c r="H282" s="112">
        <f>TB!G445</f>
        <v>0</v>
      </c>
      <c r="I282" s="55" t="e">
        <f>[1]Sheet1!K443</f>
        <v>#REF!</v>
      </c>
      <c r="J282" s="16" t="e">
        <f>[1]Sheet1!M443</f>
        <v>#REF!</v>
      </c>
    </row>
    <row r="283" spans="1:10" s="17" customFormat="1" ht="15.75" hidden="1" customHeight="1">
      <c r="A283" s="65"/>
      <c r="B283" s="65"/>
      <c r="C283" s="43"/>
      <c r="D283" s="45"/>
      <c r="E283" s="45" t="s">
        <v>636</v>
      </c>
      <c r="F283" s="45"/>
      <c r="G283" s="72" t="e">
        <f>+G284</f>
        <v>#REF!</v>
      </c>
      <c r="H283" s="113">
        <f>+H284</f>
        <v>0</v>
      </c>
      <c r="I283" s="57" t="e">
        <f>+I284</f>
        <v>#REF!</v>
      </c>
      <c r="J283" s="18" t="e">
        <f>+J284</f>
        <v>#REF!</v>
      </c>
    </row>
    <row r="284" spans="1:10" s="17" customFormat="1" ht="15.75" hidden="1" customHeight="1">
      <c r="A284" s="65"/>
      <c r="B284" s="65"/>
      <c r="C284" s="43"/>
      <c r="D284" s="43"/>
      <c r="E284" s="43"/>
      <c r="F284" s="45" t="s">
        <v>444</v>
      </c>
      <c r="G284" s="44" t="e">
        <f>SUM(H284:J284)</f>
        <v>#REF!</v>
      </c>
      <c r="H284" s="112">
        <f>TB!G446</f>
        <v>0</v>
      </c>
      <c r="I284" s="55" t="e">
        <f>[1]Sheet1!K444</f>
        <v>#REF!</v>
      </c>
      <c r="J284" s="16" t="e">
        <f>[1]Sheet1!M444</f>
        <v>#REF!</v>
      </c>
    </row>
    <row r="285" spans="1:10" s="17" customFormat="1" ht="15.75" hidden="1" customHeight="1">
      <c r="A285" s="65"/>
      <c r="B285" s="65"/>
      <c r="C285" s="43"/>
      <c r="D285" s="43"/>
      <c r="E285" s="45" t="s">
        <v>1343</v>
      </c>
      <c r="F285" s="43"/>
      <c r="G285" s="44" t="e">
        <f>SUM(H285:J285)</f>
        <v>#REF!</v>
      </c>
      <c r="H285" s="112">
        <f>TB!G447</f>
        <v>0</v>
      </c>
      <c r="I285" s="55" t="e">
        <f>[1]Sheet1!K445</f>
        <v>#REF!</v>
      </c>
      <c r="J285" s="16" t="e">
        <f>[1]Sheet1!M445</f>
        <v>#REF!</v>
      </c>
    </row>
    <row r="286" spans="1:10" s="17" customFormat="1" ht="15.75" hidden="1" customHeight="1">
      <c r="A286" s="65"/>
      <c r="B286" s="65"/>
      <c r="C286" s="43"/>
      <c r="D286" s="43"/>
      <c r="E286" s="45" t="s">
        <v>1344</v>
      </c>
      <c r="F286" s="43"/>
      <c r="G286" s="44" t="e">
        <f>SUM(G287:G288)</f>
        <v>#REF!</v>
      </c>
      <c r="H286" s="112">
        <f>SUM(H287:H288)</f>
        <v>0</v>
      </c>
      <c r="I286" s="55" t="e">
        <f>SUM(I287:I288)</f>
        <v>#REF!</v>
      </c>
      <c r="J286" s="16" t="e">
        <f>SUM(J287:J288)</f>
        <v>#REF!</v>
      </c>
    </row>
    <row r="287" spans="1:10" s="17" customFormat="1" ht="15.75" hidden="1" customHeight="1">
      <c r="A287" s="65"/>
      <c r="B287" s="65"/>
      <c r="C287" s="43"/>
      <c r="D287" s="43"/>
      <c r="E287" s="43"/>
      <c r="F287" s="45" t="s">
        <v>448</v>
      </c>
      <c r="G287" s="44" t="e">
        <f>SUM(H287:J287)</f>
        <v>#REF!</v>
      </c>
      <c r="H287" s="112">
        <f>TB!G449</f>
        <v>0</v>
      </c>
      <c r="I287" s="55" t="e">
        <f>[1]Sheet1!K446</f>
        <v>#REF!</v>
      </c>
      <c r="J287" s="16" t="e">
        <f>[1]Sheet1!M446</f>
        <v>#REF!</v>
      </c>
    </row>
    <row r="288" spans="1:10" s="17" customFormat="1" ht="15.75" hidden="1" customHeight="1">
      <c r="A288" s="65"/>
      <c r="B288" s="65"/>
      <c r="C288" s="43"/>
      <c r="D288" s="43"/>
      <c r="E288" s="43"/>
      <c r="F288" s="45" t="s">
        <v>449</v>
      </c>
      <c r="G288" s="44" t="e">
        <f>SUM(H288:J288)</f>
        <v>#REF!</v>
      </c>
      <c r="H288" s="112">
        <f>TB!G450</f>
        <v>0</v>
      </c>
      <c r="I288" s="55" t="e">
        <f>[1]Sheet1!K447</f>
        <v>#REF!</v>
      </c>
      <c r="J288" s="16" t="e">
        <f>[1]Sheet1!M447</f>
        <v>#REF!</v>
      </c>
    </row>
    <row r="289" spans="1:10" s="17" customFormat="1" ht="15.75" hidden="1" customHeight="1">
      <c r="A289" s="65"/>
      <c r="B289" s="65"/>
      <c r="C289" s="43"/>
      <c r="D289" s="43"/>
      <c r="E289" s="43" t="s">
        <v>1345</v>
      </c>
      <c r="F289" s="45"/>
      <c r="G289" s="72" t="e">
        <f>SUM(G290:G291)</f>
        <v>#REF!</v>
      </c>
      <c r="H289" s="113">
        <f>SUM(H290:H291)</f>
        <v>0</v>
      </c>
      <c r="I289" s="57" t="e">
        <f>SUM(I290:I291)</f>
        <v>#REF!</v>
      </c>
      <c r="J289" s="18" t="e">
        <f>SUM(J290:J291)</f>
        <v>#REF!</v>
      </c>
    </row>
    <row r="290" spans="1:10" s="17" customFormat="1" ht="15.75" hidden="1" customHeight="1">
      <c r="A290" s="65"/>
      <c r="B290" s="65"/>
      <c r="C290" s="43"/>
      <c r="D290" s="43"/>
      <c r="E290" s="43"/>
      <c r="F290" s="45" t="s">
        <v>450</v>
      </c>
      <c r="G290" s="44" t="e">
        <f>SUM(H290:J290)</f>
        <v>#REF!</v>
      </c>
      <c r="H290" s="112">
        <f>TB!G452</f>
        <v>0</v>
      </c>
      <c r="I290" s="55" t="e">
        <f>[1]Sheet1!K448</f>
        <v>#REF!</v>
      </c>
      <c r="J290" s="16" t="e">
        <f>[1]Sheet1!M448</f>
        <v>#REF!</v>
      </c>
    </row>
    <row r="291" spans="1:10" s="17" customFormat="1" ht="15.75" hidden="1" customHeight="1">
      <c r="A291" s="65"/>
      <c r="B291" s="65"/>
      <c r="C291" s="43"/>
      <c r="D291" s="43"/>
      <c r="E291" s="43"/>
      <c r="F291" s="45" t="s">
        <v>452</v>
      </c>
      <c r="G291" s="44" t="e">
        <f>SUM(H291:J291)</f>
        <v>#REF!</v>
      </c>
      <c r="H291" s="112">
        <f>TB!G453</f>
        <v>0</v>
      </c>
      <c r="I291" s="55" t="e">
        <f>[1]Sheet1!K449</f>
        <v>#REF!</v>
      </c>
      <c r="J291" s="16" t="e">
        <f>[1]Sheet1!M449</f>
        <v>#REF!</v>
      </c>
    </row>
    <row r="292" spans="1:10" s="17" customFormat="1" ht="15.75" customHeight="1">
      <c r="A292" s="65"/>
      <c r="B292" s="65"/>
      <c r="C292" s="43"/>
      <c r="D292" s="43" t="s">
        <v>1346</v>
      </c>
      <c r="E292" s="43"/>
      <c r="F292" s="45"/>
      <c r="G292" s="72" t="e">
        <f>SUM(G293:G295)</f>
        <v>#REF!</v>
      </c>
      <c r="H292" s="113">
        <f>SUM(H293:H295)</f>
        <v>0</v>
      </c>
      <c r="I292" s="57" t="e">
        <f>SUM(I293:I295)</f>
        <v>#REF!</v>
      </c>
      <c r="J292" s="18" t="e">
        <f>SUM(J293:J295)</f>
        <v>#REF!</v>
      </c>
    </row>
    <row r="293" spans="1:10" s="17" customFormat="1" ht="15.75" hidden="1" customHeight="1">
      <c r="A293" s="65"/>
      <c r="B293" s="65"/>
      <c r="C293" s="43"/>
      <c r="D293" s="43"/>
      <c r="E293" s="45" t="s">
        <v>456</v>
      </c>
      <c r="F293" s="43"/>
      <c r="G293" s="44" t="e">
        <f>SUM(H293:J293)</f>
        <v>#REF!</v>
      </c>
      <c r="H293" s="112">
        <f>TB!G453</f>
        <v>0</v>
      </c>
      <c r="I293" s="55" t="e">
        <f>[1]Sheet1!K451</f>
        <v>#REF!</v>
      </c>
      <c r="J293" s="16" t="e">
        <f>[1]Sheet1!M451</f>
        <v>#REF!</v>
      </c>
    </row>
    <row r="294" spans="1:10" s="17" customFormat="1" ht="15.75" hidden="1" customHeight="1">
      <c r="A294" s="65"/>
      <c r="B294" s="65"/>
      <c r="C294" s="43"/>
      <c r="D294" s="43"/>
      <c r="E294" s="45" t="s">
        <v>458</v>
      </c>
      <c r="F294" s="43"/>
      <c r="G294" s="44" t="e">
        <f>SUM(H294:J294)</f>
        <v>#REF!</v>
      </c>
      <c r="H294" s="112">
        <f>TB!G454</f>
        <v>0</v>
      </c>
      <c r="I294" s="55" t="e">
        <f>[1]Sheet1!K452</f>
        <v>#REF!</v>
      </c>
      <c r="J294" s="16" t="e">
        <f>[1]Sheet1!M452</f>
        <v>#REF!</v>
      </c>
    </row>
    <row r="295" spans="1:10" s="17" customFormat="1" ht="15.75" customHeight="1">
      <c r="A295" s="65"/>
      <c r="B295" s="65"/>
      <c r="C295" s="43"/>
      <c r="D295" s="43"/>
      <c r="E295" s="45" t="s">
        <v>460</v>
      </c>
      <c r="F295" s="43"/>
      <c r="G295" s="44" t="e">
        <f>SUM(H295:J295)</f>
        <v>#REF!</v>
      </c>
      <c r="H295" s="112">
        <f>TB!G455</f>
        <v>0</v>
      </c>
      <c r="I295" s="55" t="e">
        <f>[1]Sheet1!K453</f>
        <v>#REF!</v>
      </c>
      <c r="J295" s="16" t="e">
        <f>[1]Sheet1!M453</f>
        <v>#REF!</v>
      </c>
    </row>
    <row r="296" spans="1:10" s="17" customFormat="1" ht="15.75" customHeight="1">
      <c r="A296" s="65"/>
      <c r="B296" s="65" t="s">
        <v>1347</v>
      </c>
      <c r="C296" s="43"/>
      <c r="D296" s="43"/>
      <c r="E296" s="45"/>
      <c r="F296" s="43"/>
      <c r="G296" s="72" t="e">
        <f>SUM(G297:G302)</f>
        <v>#REF!</v>
      </c>
      <c r="H296" s="113">
        <f>SUM(H297:H302)</f>
        <v>0</v>
      </c>
      <c r="I296" s="57" t="e">
        <f>SUM(I297:I302)</f>
        <v>#REF!</v>
      </c>
      <c r="J296" s="18" t="e">
        <f>SUM(J297:J302)</f>
        <v>#REF!</v>
      </c>
    </row>
    <row r="297" spans="1:10" s="17" customFormat="1" ht="15.75" customHeight="1">
      <c r="A297" s="65"/>
      <c r="B297" s="65"/>
      <c r="C297" s="43"/>
      <c r="D297" s="45" t="s">
        <v>462</v>
      </c>
      <c r="E297" s="43"/>
      <c r="F297" s="43"/>
      <c r="G297" s="44" t="e">
        <f t="shared" ref="G297:G302" si="15">SUM(H297:J297)</f>
        <v>#REF!</v>
      </c>
      <c r="H297" s="112">
        <f>TB!G456</f>
        <v>0</v>
      </c>
      <c r="I297" s="55" t="e">
        <f>[1]Sheet1!K454</f>
        <v>#REF!</v>
      </c>
      <c r="J297" s="16" t="e">
        <f>[1]Sheet1!M454</f>
        <v>#REF!</v>
      </c>
    </row>
    <row r="298" spans="1:10" s="17" customFormat="1" ht="15.75" hidden="1" customHeight="1">
      <c r="A298" s="65"/>
      <c r="B298" s="65"/>
      <c r="C298" s="43"/>
      <c r="D298" s="45" t="s">
        <v>464</v>
      </c>
      <c r="E298" s="43"/>
      <c r="F298" s="43"/>
      <c r="G298" s="44" t="e">
        <f t="shared" si="15"/>
        <v>#REF!</v>
      </c>
      <c r="H298" s="112">
        <f>TB!G457</f>
        <v>0</v>
      </c>
      <c r="I298" s="55" t="e">
        <f>[1]Sheet1!K455</f>
        <v>#REF!</v>
      </c>
      <c r="J298" s="16" t="e">
        <f>[1]Sheet1!M455</f>
        <v>#REF!</v>
      </c>
    </row>
    <row r="299" spans="1:10" s="17" customFormat="1" ht="15.75" hidden="1" customHeight="1">
      <c r="A299" s="65"/>
      <c r="B299" s="65"/>
      <c r="C299" s="43"/>
      <c r="D299" s="45" t="s">
        <v>466</v>
      </c>
      <c r="E299" s="43"/>
      <c r="F299" s="43"/>
      <c r="G299" s="44" t="e">
        <f t="shared" si="15"/>
        <v>#REF!</v>
      </c>
      <c r="H299" s="112">
        <f>TB!G458</f>
        <v>0</v>
      </c>
      <c r="I299" s="55" t="e">
        <f>[1]Sheet1!K456</f>
        <v>#REF!</v>
      </c>
      <c r="J299" s="16" t="e">
        <f>[1]Sheet1!M456</f>
        <v>#REF!</v>
      </c>
    </row>
    <row r="300" spans="1:10" s="17" customFormat="1" ht="15.75" customHeight="1">
      <c r="A300" s="65"/>
      <c r="B300" s="65"/>
      <c r="C300" s="43"/>
      <c r="D300" s="45" t="s">
        <v>2023</v>
      </c>
      <c r="E300" s="43"/>
      <c r="F300" s="43"/>
      <c r="G300" s="44" t="e">
        <f t="shared" si="15"/>
        <v>#REF!</v>
      </c>
      <c r="H300" s="112">
        <f>TB!G459</f>
        <v>0</v>
      </c>
      <c r="I300" s="55" t="e">
        <f>[1]Sheet1!K457</f>
        <v>#REF!</v>
      </c>
      <c r="J300" s="16" t="e">
        <f>[1]Sheet1!M457</f>
        <v>#REF!</v>
      </c>
    </row>
    <row r="301" spans="1:10" s="17" customFormat="1" ht="15.75" customHeight="1">
      <c r="A301" s="65"/>
      <c r="B301" s="65"/>
      <c r="C301" s="43"/>
      <c r="D301" s="45" t="s">
        <v>2025</v>
      </c>
      <c r="E301" s="43"/>
      <c r="F301" s="43"/>
      <c r="G301" s="44" t="e">
        <f t="shared" si="15"/>
        <v>#REF!</v>
      </c>
      <c r="H301" s="112">
        <f>TB!G460</f>
        <v>0</v>
      </c>
      <c r="I301" s="55" t="e">
        <f>[1]Sheet1!K458</f>
        <v>#REF!</v>
      </c>
      <c r="J301" s="16" t="e">
        <f>[1]Sheet1!M458</f>
        <v>#REF!</v>
      </c>
    </row>
    <row r="302" spans="1:10" s="17" customFormat="1" ht="15.75" customHeight="1">
      <c r="A302" s="65"/>
      <c r="B302" s="65"/>
      <c r="C302" s="43"/>
      <c r="D302" s="45" t="s">
        <v>2027</v>
      </c>
      <c r="E302" s="43"/>
      <c r="F302" s="43"/>
      <c r="G302" s="44" t="e">
        <f t="shared" si="15"/>
        <v>#REF!</v>
      </c>
      <c r="H302" s="112">
        <f>TB!G461</f>
        <v>0</v>
      </c>
      <c r="I302" s="55" t="e">
        <f>[1]Sheet1!K459</f>
        <v>#REF!</v>
      </c>
      <c r="J302" s="16" t="e">
        <f>[1]Sheet1!M459</f>
        <v>#REF!</v>
      </c>
    </row>
    <row r="303" spans="1:10" s="17" customFormat="1" ht="15.75" customHeight="1">
      <c r="A303" s="65"/>
      <c r="B303" s="65" t="s">
        <v>1348</v>
      </c>
      <c r="C303" s="43"/>
      <c r="D303" s="45"/>
      <c r="E303" s="43"/>
      <c r="F303" s="43"/>
      <c r="G303" s="72" t="e">
        <f>+G296+G130+G92</f>
        <v>#REF!</v>
      </c>
      <c r="H303" s="113">
        <f>+H296+H130+H92</f>
        <v>0</v>
      </c>
      <c r="I303" s="57" t="e">
        <f>+I296+I130+I92</f>
        <v>#REF!</v>
      </c>
      <c r="J303" s="18" t="e">
        <f>+J296+J130+J92</f>
        <v>#REF!</v>
      </c>
    </row>
    <row r="304" spans="1:10" s="17" customFormat="1" ht="15.75" customHeight="1">
      <c r="A304" s="65" t="s">
        <v>1349</v>
      </c>
      <c r="B304" s="65"/>
      <c r="C304" s="43"/>
      <c r="D304" s="45"/>
      <c r="E304" s="43"/>
      <c r="F304" s="43"/>
      <c r="G304" s="72" t="e">
        <f>+G90-G303</f>
        <v>#REF!</v>
      </c>
      <c r="H304" s="113">
        <f>+H90-H303</f>
        <v>0</v>
      </c>
      <c r="I304" s="57" t="e">
        <f>+I90-I303</f>
        <v>#REF!</v>
      </c>
      <c r="J304" s="18" t="e">
        <f>+J90-J303</f>
        <v>#REF!</v>
      </c>
    </row>
    <row r="305" spans="1:10" s="17" customFormat="1" ht="15.75" hidden="1" customHeight="1">
      <c r="A305" s="65" t="s">
        <v>1350</v>
      </c>
      <c r="B305" s="65"/>
      <c r="C305" s="43"/>
      <c r="D305" s="43"/>
      <c r="E305" s="43"/>
      <c r="F305" s="45" t="s">
        <v>1267</v>
      </c>
      <c r="G305" s="44" t="e">
        <f>SUM(H305:J305)</f>
        <v>#REF!</v>
      </c>
      <c r="H305" s="112">
        <f>TB!J399</f>
        <v>0</v>
      </c>
      <c r="I305" s="55" t="e">
        <f>[1]Sheet1!L259</f>
        <v>#REF!</v>
      </c>
      <c r="J305" s="16" t="e">
        <f>[1]Sheet1!N259</f>
        <v>#REF!</v>
      </c>
    </row>
    <row r="306" spans="1:10" s="17" customFormat="1" ht="15.75" hidden="1" customHeight="1">
      <c r="A306" s="65"/>
      <c r="B306" s="65"/>
      <c r="C306" s="43"/>
      <c r="D306" s="43"/>
      <c r="E306" s="43"/>
      <c r="F306" s="45" t="s">
        <v>1269</v>
      </c>
      <c r="G306" s="44" t="e">
        <f>SUM(H306:J306)</f>
        <v>#REF!</v>
      </c>
      <c r="H306" s="112">
        <f>TB!J400</f>
        <v>0</v>
      </c>
      <c r="I306" s="55" t="e">
        <f>[1]Sheet1!L260</f>
        <v>#REF!</v>
      </c>
      <c r="J306" s="16" t="e">
        <f>[1]Sheet1!N260</f>
        <v>#REF!</v>
      </c>
    </row>
    <row r="307" spans="1:10" s="17" customFormat="1" ht="15.75" hidden="1" customHeight="1">
      <c r="A307" s="65" t="s">
        <v>1350</v>
      </c>
      <c r="B307" s="65"/>
      <c r="C307" s="43"/>
      <c r="D307" s="43"/>
      <c r="E307" s="43"/>
      <c r="F307" s="45" t="s">
        <v>1271</v>
      </c>
      <c r="G307" s="44" t="e">
        <f>SUM(H307:J307)</f>
        <v>#REF!</v>
      </c>
      <c r="H307" s="112">
        <f>TB!J401</f>
        <v>0</v>
      </c>
      <c r="I307" s="55" t="e">
        <f>[1]Sheet1!L261</f>
        <v>#REF!</v>
      </c>
      <c r="J307" s="16" t="e">
        <f>[1]Sheet1!N261</f>
        <v>#REF!</v>
      </c>
    </row>
    <row r="308" spans="1:10" s="17" customFormat="1" ht="15.75" hidden="1" customHeight="1">
      <c r="A308" s="65"/>
      <c r="B308" s="65"/>
      <c r="C308" s="43"/>
      <c r="D308" s="43"/>
      <c r="E308" s="43"/>
      <c r="F308" s="45" t="s">
        <v>1351</v>
      </c>
      <c r="G308" s="72" t="e">
        <f>SUM(G305:G307)</f>
        <v>#REF!</v>
      </c>
      <c r="H308" s="113">
        <f>SUM(H305:H307)</f>
        <v>0</v>
      </c>
      <c r="I308" s="57" t="e">
        <f>SUM(I305:I307)</f>
        <v>#REF!</v>
      </c>
      <c r="J308" s="18" t="e">
        <f>SUM(J305:J307)</f>
        <v>#REF!</v>
      </c>
    </row>
    <row r="309" spans="1:10" s="17" customFormat="1" ht="15.75" hidden="1" customHeight="1">
      <c r="A309" s="65" t="s">
        <v>1352</v>
      </c>
      <c r="B309" s="65"/>
      <c r="C309" s="43"/>
      <c r="D309" s="43"/>
      <c r="E309" s="43"/>
      <c r="F309" s="45" t="s">
        <v>1217</v>
      </c>
      <c r="G309" s="44" t="e">
        <f t="shared" ref="G309:G314" si="16">SUM(H309:J309)</f>
        <v>#REF!</v>
      </c>
      <c r="H309" s="112">
        <f>TB!G399</f>
        <v>0</v>
      </c>
      <c r="I309" s="55" t="e">
        <f>[1]Sheet1!K397</f>
        <v>#REF!</v>
      </c>
      <c r="J309" s="16" t="e">
        <f>[1]Sheet1!M397</f>
        <v>#REF!</v>
      </c>
    </row>
    <row r="310" spans="1:10" s="17" customFormat="1" ht="15.75" hidden="1" customHeight="1">
      <c r="A310" s="65" t="s">
        <v>1352</v>
      </c>
      <c r="B310" s="65"/>
      <c r="C310" s="43"/>
      <c r="D310" s="43"/>
      <c r="E310" s="43"/>
      <c r="F310" s="45" t="s">
        <v>1219</v>
      </c>
      <c r="G310" s="44" t="e">
        <f t="shared" si="16"/>
        <v>#REF!</v>
      </c>
      <c r="H310" s="112">
        <f>TB!G400</f>
        <v>0</v>
      </c>
      <c r="I310" s="55" t="e">
        <f>[1]Sheet1!K398</f>
        <v>#REF!</v>
      </c>
      <c r="J310" s="16" t="e">
        <f>[1]Sheet1!M398</f>
        <v>#REF!</v>
      </c>
    </row>
    <row r="311" spans="1:10" s="17" customFormat="1" ht="15.75" hidden="1" customHeight="1">
      <c r="A311" s="65"/>
      <c r="B311" s="65"/>
      <c r="C311" s="43"/>
      <c r="D311" s="43"/>
      <c r="E311" s="43"/>
      <c r="F311" s="45" t="s">
        <v>1793</v>
      </c>
      <c r="G311" s="44" t="e">
        <f t="shared" si="16"/>
        <v>#REF!</v>
      </c>
      <c r="H311" s="112">
        <f>TB!G401</f>
        <v>0</v>
      </c>
      <c r="I311" s="55" t="e">
        <f>[1]Sheet1!K399</f>
        <v>#REF!</v>
      </c>
      <c r="J311" s="16" t="e">
        <f>[1]Sheet1!M399</f>
        <v>#REF!</v>
      </c>
    </row>
    <row r="312" spans="1:10" s="17" customFormat="1" ht="15.75" hidden="1" customHeight="1">
      <c r="A312" s="65"/>
      <c r="B312" s="65"/>
      <c r="C312" s="43"/>
      <c r="D312" s="43"/>
      <c r="E312" s="43"/>
      <c r="F312" s="45" t="s">
        <v>1795</v>
      </c>
      <c r="G312" s="44" t="e">
        <f t="shared" si="16"/>
        <v>#REF!</v>
      </c>
      <c r="H312" s="112">
        <f>TB!G402</f>
        <v>0</v>
      </c>
      <c r="I312" s="55" t="e">
        <f>[1]Sheet1!K400</f>
        <v>#REF!</v>
      </c>
      <c r="J312" s="16" t="e">
        <f>[1]Sheet1!M400</f>
        <v>#REF!</v>
      </c>
    </row>
    <row r="313" spans="1:10" s="17" customFormat="1" ht="15.75" customHeight="1">
      <c r="A313" s="65"/>
      <c r="B313" s="65"/>
      <c r="C313" s="43"/>
      <c r="D313" s="43"/>
      <c r="E313" s="43"/>
      <c r="F313" s="45" t="s">
        <v>1797</v>
      </c>
      <c r="G313" s="44" t="e">
        <f t="shared" si="16"/>
        <v>#REF!</v>
      </c>
      <c r="H313" s="112">
        <f>TB!G403</f>
        <v>0</v>
      </c>
      <c r="I313" s="55" t="e">
        <f>[1]Sheet1!K401</f>
        <v>#REF!</v>
      </c>
      <c r="J313" s="16" t="e">
        <f>[1]Sheet1!M401</f>
        <v>#REF!</v>
      </c>
    </row>
    <row r="314" spans="1:10" s="17" customFormat="1" ht="15.75" customHeight="1">
      <c r="A314" s="65"/>
      <c r="B314" s="65"/>
      <c r="C314" s="43"/>
      <c r="D314" s="43"/>
      <c r="E314" s="43"/>
      <c r="F314" s="45" t="s">
        <v>1799</v>
      </c>
      <c r="G314" s="44" t="e">
        <f t="shared" si="16"/>
        <v>#REF!</v>
      </c>
      <c r="H314" s="112">
        <f>TB!G404</f>
        <v>0</v>
      </c>
      <c r="I314" s="55" t="e">
        <f>[1]Sheet1!K402</f>
        <v>#REF!</v>
      </c>
      <c r="J314" s="16" t="e">
        <f>[1]Sheet1!M402</f>
        <v>#REF!</v>
      </c>
    </row>
    <row r="315" spans="1:10" s="17" customFormat="1" ht="15.75" customHeight="1">
      <c r="A315" s="65"/>
      <c r="B315" s="65"/>
      <c r="C315" s="43"/>
      <c r="D315" s="43"/>
      <c r="E315" s="43"/>
      <c r="F315" s="45" t="s">
        <v>1351</v>
      </c>
      <c r="G315" s="72" t="e">
        <f>SUM(G309:G314)</f>
        <v>#REF!</v>
      </c>
      <c r="H315" s="113">
        <f>SUM(H309:H314)</f>
        <v>0</v>
      </c>
      <c r="I315" s="57" t="e">
        <f>SUM(I309:I314)</f>
        <v>#REF!</v>
      </c>
      <c r="J315" s="18" t="e">
        <f>SUM(J309:J314)</f>
        <v>#REF!</v>
      </c>
    </row>
    <row r="316" spans="1:10" s="17" customFormat="1" ht="15.75" customHeight="1">
      <c r="A316" s="65" t="s">
        <v>1353</v>
      </c>
      <c r="B316" s="65"/>
      <c r="C316" s="43"/>
      <c r="D316" s="43"/>
      <c r="E316" s="43"/>
      <c r="F316" s="45"/>
      <c r="G316" s="72" t="e">
        <f>+G304+G308-G315</f>
        <v>#REF!</v>
      </c>
      <c r="H316" s="113">
        <f>+H304+H308-H315</f>
        <v>0</v>
      </c>
      <c r="I316" s="57" t="e">
        <f>+I304+I308-I315</f>
        <v>#REF!</v>
      </c>
      <c r="J316" s="18" t="e">
        <f>+J304+J308-J315</f>
        <v>#REF!</v>
      </c>
    </row>
    <row r="317" spans="1:10" s="17" customFormat="1" ht="15.75" customHeight="1">
      <c r="A317" s="65" t="s">
        <v>1354</v>
      </c>
      <c r="B317" s="65"/>
      <c r="C317" s="43"/>
      <c r="D317" s="43"/>
      <c r="E317" s="43"/>
      <c r="F317" s="45"/>
      <c r="G317" s="72" t="e">
        <f>SUM(G318:G320)</f>
        <v>#REF!</v>
      </c>
      <c r="H317" s="113">
        <f>SUM(H318:H320)</f>
        <v>0</v>
      </c>
      <c r="I317" s="57" t="e">
        <f>SUM(I318:I320)</f>
        <v>#REF!</v>
      </c>
      <c r="J317" s="18" t="e">
        <f>SUM(J318:J320)</f>
        <v>#REF!</v>
      </c>
    </row>
    <row r="318" spans="1:10" s="17" customFormat="1" ht="15.75" hidden="1" customHeight="1">
      <c r="A318" s="65"/>
      <c r="B318" s="65"/>
      <c r="C318" s="43"/>
      <c r="D318" s="43"/>
      <c r="E318" s="43"/>
      <c r="F318" s="45" t="s">
        <v>723</v>
      </c>
      <c r="G318" s="44" t="e">
        <f>SUM(H318:J318)</f>
        <v>#REF!</v>
      </c>
      <c r="H318" s="112">
        <f>TB!J277</f>
        <v>0</v>
      </c>
      <c r="I318" s="55" t="e">
        <f>[1]Sheet1!L275-[1]Sheet1!K275</f>
        <v>#REF!</v>
      </c>
      <c r="J318" s="16" t="e">
        <f>[1]Sheet1!N275-[1]Sheet1!M275</f>
        <v>#REF!</v>
      </c>
    </row>
    <row r="319" spans="1:10" s="17" customFormat="1" ht="15.75" hidden="1" customHeight="1">
      <c r="A319" s="65"/>
      <c r="B319" s="65"/>
      <c r="C319" s="43"/>
      <c r="D319" s="43"/>
      <c r="E319" s="43"/>
      <c r="F319" s="45" t="s">
        <v>643</v>
      </c>
      <c r="G319" s="44" t="e">
        <f>SUM(H319:J319)</f>
        <v>#REF!</v>
      </c>
      <c r="H319" s="112">
        <f>TB!J278</f>
        <v>0</v>
      </c>
      <c r="I319" s="55" t="e">
        <f>[1]Sheet1!L276-[1]Sheet1!K276</f>
        <v>#REF!</v>
      </c>
      <c r="J319" s="16" t="e">
        <f>[1]Sheet1!N276-[1]Sheet1!M276</f>
        <v>#REF!</v>
      </c>
    </row>
    <row r="320" spans="1:10" s="17" customFormat="1" ht="15.75" hidden="1" customHeight="1">
      <c r="A320" s="65"/>
      <c r="B320" s="65"/>
      <c r="C320" s="43"/>
      <c r="D320" s="43"/>
      <c r="E320" s="43"/>
      <c r="F320" s="45" t="s">
        <v>645</v>
      </c>
      <c r="G320" s="44" t="e">
        <f>SUM(H320:J320)</f>
        <v>#REF!</v>
      </c>
      <c r="H320" s="112">
        <f>TB!J279</f>
        <v>0</v>
      </c>
      <c r="I320" s="55" t="e">
        <f>[1]Sheet1!L277-[1]Sheet1!K277</f>
        <v>#REF!</v>
      </c>
      <c r="J320" s="16" t="e">
        <f>[1]Sheet1!N277-[1]Sheet1!M277</f>
        <v>#REF!</v>
      </c>
    </row>
    <row r="321" spans="1:10" s="17" customFormat="1" ht="15.75" customHeight="1">
      <c r="A321" s="65" t="s">
        <v>1355</v>
      </c>
      <c r="B321" s="65"/>
      <c r="C321" s="43"/>
      <c r="D321" s="43"/>
      <c r="E321" s="43"/>
      <c r="F321" s="43"/>
      <c r="G321" s="50" t="e">
        <f>SUM(G318:G320)+G316</f>
        <v>#REF!</v>
      </c>
      <c r="H321" s="114">
        <f>SUM(H318:H320)+H316</f>
        <v>0</v>
      </c>
      <c r="I321" s="61" t="e">
        <f>SUM(I318:I320)+I316</f>
        <v>#REF!</v>
      </c>
      <c r="J321" s="23" t="e">
        <f>SUM(J318:J320)+J316</f>
        <v>#REF!</v>
      </c>
    </row>
    <row r="322" spans="1:10" s="36" customFormat="1" ht="15.75" customHeight="1">
      <c r="A322" s="86"/>
      <c r="B322" s="86"/>
      <c r="C322" s="78"/>
      <c r="D322" s="78"/>
      <c r="E322" s="78"/>
      <c r="F322" s="78"/>
      <c r="G322" s="91"/>
      <c r="H322" s="115"/>
      <c r="I322" s="51"/>
      <c r="J322" s="28"/>
    </row>
    <row r="323" spans="1:10" ht="15.75" customHeight="1">
      <c r="A323" s="92" t="s">
        <v>616</v>
      </c>
      <c r="B323" s="86"/>
      <c r="C323" s="78"/>
      <c r="D323" s="78"/>
      <c r="E323" s="78"/>
      <c r="F323" s="78"/>
      <c r="G323" s="79" t="e">
        <f>+G321-[1]Sheet1!B13</f>
        <v>#REF!</v>
      </c>
      <c r="H323" s="115">
        <f>H321-SGE!C15</f>
        <v>0</v>
      </c>
      <c r="I323" s="51" t="e">
        <f>+I321-[1]Sheet1!D13</f>
        <v>#REF!</v>
      </c>
      <c r="J323" s="28" t="e">
        <f>+J321-[1]Sheet1!E13</f>
        <v>#REF!</v>
      </c>
    </row>
    <row r="326" spans="1:10" ht="15.75" customHeight="1">
      <c r="A326" s="29" t="s">
        <v>1236</v>
      </c>
    </row>
    <row r="332" spans="1:10" ht="15.75" customHeight="1">
      <c r="A332" s="33" t="s">
        <v>1237</v>
      </c>
      <c r="B332" s="29"/>
      <c r="D332" s="32"/>
      <c r="F332" s="34"/>
    </row>
    <row r="333" spans="1:10" ht="15.75" customHeight="1">
      <c r="A333" s="117" t="s">
        <v>1238</v>
      </c>
      <c r="B333" s="29"/>
      <c r="D333" s="32"/>
      <c r="F333" s="32"/>
    </row>
    <row r="334" spans="1:10" ht="15.75" customHeight="1">
      <c r="A334" s="117" t="s">
        <v>1239</v>
      </c>
      <c r="B334" s="29"/>
      <c r="D334" s="32"/>
    </row>
    <row r="335" spans="1:10" ht="15.75" customHeight="1">
      <c r="A335" s="117"/>
      <c r="B335" s="29"/>
      <c r="D335" s="32"/>
      <c r="F335" s="32"/>
    </row>
    <row r="336" spans="1:10" ht="15.75" customHeight="1">
      <c r="A336" s="117"/>
      <c r="B336" s="29"/>
      <c r="D336" s="32"/>
    </row>
  </sheetData>
  <phoneticPr fontId="34" type="noConversion"/>
  <printOptions horizontalCentered="1"/>
  <pageMargins left="1.25" right="0.75" top="1" bottom="1" header="0.25" footer="0.48"/>
  <pageSetup paperSize="359" scale="90" orientation="portrait" r:id="rId1"/>
  <headerFooter alignWithMargins="0">
    <oddFooter>Page &amp;P of &amp;N</oddFooter>
  </headerFooter>
</worksheet>
</file>

<file path=xl/worksheets/sheet6.xml><?xml version="1.0" encoding="utf-8"?>
<worksheet xmlns="http://schemas.openxmlformats.org/spreadsheetml/2006/main" xmlns:r="http://schemas.openxmlformats.org/officeDocument/2006/relationships">
  <dimension ref="A1:G51"/>
  <sheetViews>
    <sheetView workbookViewId="0">
      <selection activeCell="F12" sqref="F12"/>
    </sheetView>
  </sheetViews>
  <sheetFormatPr defaultRowHeight="15.75" customHeight="1"/>
  <cols>
    <col min="1" max="1" width="57.7109375" style="104" customWidth="1"/>
    <col min="2" max="2" width="20.28515625" style="103" hidden="1" customWidth="1"/>
    <col min="3" max="3" width="16.42578125" style="103" customWidth="1"/>
    <col min="4" max="5" width="15.7109375" style="103" hidden="1" customWidth="1"/>
    <col min="6" max="6" width="16.5703125" style="103" customWidth="1"/>
    <col min="7" max="7" width="13.85546875" style="104" customWidth="1"/>
    <col min="8" max="8" width="9.28515625" style="104" customWidth="1"/>
    <col min="9" max="16384" width="9.140625" style="104"/>
  </cols>
  <sheetData>
    <row r="1" spans="1:7" s="96" customFormat="1" ht="15.75" customHeight="1">
      <c r="A1" s="93" t="s">
        <v>1016</v>
      </c>
      <c r="B1" s="93"/>
      <c r="C1" s="93"/>
      <c r="D1" s="94"/>
      <c r="E1" s="95"/>
      <c r="F1" s="95"/>
      <c r="G1" s="95"/>
    </row>
    <row r="2" spans="1:7" s="96" customFormat="1" ht="15.75" customHeight="1">
      <c r="A2" s="97" t="s">
        <v>1017</v>
      </c>
      <c r="B2" s="97"/>
      <c r="C2" s="97"/>
      <c r="D2" s="98"/>
      <c r="E2" s="99"/>
      <c r="F2" s="99"/>
      <c r="G2" s="99"/>
    </row>
    <row r="3" spans="1:7" s="96" customFormat="1" ht="15.75" customHeight="1">
      <c r="A3" s="93" t="s">
        <v>1018</v>
      </c>
      <c r="B3" s="93"/>
      <c r="C3" s="93"/>
      <c r="D3" s="94"/>
      <c r="E3" s="95"/>
      <c r="F3" s="95"/>
      <c r="G3" s="95"/>
    </row>
    <row r="4" spans="1:7" s="96" customFormat="1" ht="15.75" customHeight="1">
      <c r="A4" s="93"/>
      <c r="B4" s="93"/>
      <c r="C4" s="93"/>
      <c r="D4" s="94"/>
      <c r="E4" s="95"/>
      <c r="F4" s="95"/>
      <c r="G4" s="95"/>
    </row>
    <row r="5" spans="1:7" s="96" customFormat="1" ht="15.75" customHeight="1">
      <c r="A5" s="97" t="s">
        <v>1019</v>
      </c>
      <c r="B5" s="97"/>
      <c r="C5" s="97"/>
      <c r="D5" s="98"/>
      <c r="E5" s="99"/>
      <c r="F5" s="99"/>
      <c r="G5" s="99"/>
    </row>
    <row r="6" spans="1:7" s="96" customFormat="1" ht="15.75" customHeight="1">
      <c r="A6" s="97" t="s">
        <v>1170</v>
      </c>
      <c r="B6" s="97"/>
      <c r="C6" s="93"/>
      <c r="D6" s="94"/>
      <c r="E6" s="95"/>
      <c r="F6" s="95"/>
      <c r="G6" s="95"/>
    </row>
    <row r="7" spans="1:7" s="96" customFormat="1" ht="15.75" customHeight="1">
      <c r="A7" s="93" t="s">
        <v>1171</v>
      </c>
      <c r="B7" s="93"/>
      <c r="C7" s="93"/>
      <c r="D7" s="94"/>
      <c r="E7" s="95"/>
      <c r="F7" s="95"/>
      <c r="G7" s="95"/>
    </row>
    <row r="8" spans="1:7" s="96" customFormat="1" ht="15.75" customHeight="1">
      <c r="A8" s="93"/>
      <c r="B8" s="93"/>
      <c r="C8" s="93"/>
      <c r="D8" s="94"/>
      <c r="E8" s="95"/>
      <c r="F8" s="95"/>
      <c r="G8" s="95"/>
    </row>
    <row r="9" spans="1:7" s="96" customFormat="1" ht="15.75" customHeight="1">
      <c r="A9" s="93"/>
      <c r="B9" s="93"/>
      <c r="C9" s="93"/>
      <c r="D9" s="94"/>
      <c r="E9" s="95"/>
      <c r="F9" s="95"/>
      <c r="G9" s="95"/>
    </row>
    <row r="12" spans="1:7" ht="15.75" customHeight="1">
      <c r="A12" s="102" t="s">
        <v>2223</v>
      </c>
      <c r="B12" s="103" t="e">
        <f>SUM(C12:E12)</f>
        <v>#REF!</v>
      </c>
      <c r="D12" s="103" t="e">
        <f>D40</f>
        <v>#REF!</v>
      </c>
      <c r="E12" s="103" t="e">
        <f>E40</f>
        <v>#REF!</v>
      </c>
    </row>
    <row r="13" spans="1:7" ht="15.75" customHeight="1">
      <c r="A13" s="102" t="s">
        <v>2224</v>
      </c>
    </row>
    <row r="14" spans="1:7" s="100" customFormat="1" ht="15.75" customHeight="1">
      <c r="A14" s="102" t="s">
        <v>2225</v>
      </c>
      <c r="B14" s="42" t="e">
        <f>SUM(B15:B16)</f>
        <v>#REF!</v>
      </c>
      <c r="C14" s="42"/>
      <c r="D14" s="42" t="e">
        <f>SUM(D15:D16)</f>
        <v>#REF!</v>
      </c>
      <c r="E14" s="42" t="e">
        <f>SUM(E15:E16)</f>
        <v>#REF!</v>
      </c>
      <c r="F14" s="42"/>
    </row>
    <row r="15" spans="1:7" ht="15.75" customHeight="1">
      <c r="A15" s="102" t="s">
        <v>2226</v>
      </c>
      <c r="B15" s="103" t="e">
        <f>SUM(C15:E15)</f>
        <v>#REF!</v>
      </c>
      <c r="C15" s="103">
        <f>SIE!H321</f>
        <v>0</v>
      </c>
      <c r="D15" s="103" t="e">
        <f>[1]Sheet1!I320</f>
        <v>#REF!</v>
      </c>
      <c r="E15" s="103" t="e">
        <f>[1]Sheet1!J320</f>
        <v>#REF!</v>
      </c>
    </row>
    <row r="16" spans="1:7" ht="15.75" customHeight="1">
      <c r="A16" s="102" t="s">
        <v>2227</v>
      </c>
      <c r="B16" s="103" t="e">
        <f>SUM(C16:E16)</f>
        <v>#REF!</v>
      </c>
      <c r="C16" s="105">
        <f>-TB!G280</f>
        <v>0</v>
      </c>
      <c r="D16" s="103" t="e">
        <f>+D36</f>
        <v>#REF!</v>
      </c>
      <c r="E16" s="103" t="e">
        <f>+E36</f>
        <v>#REF!</v>
      </c>
      <c r="F16" s="105">
        <f>C15+C16</f>
        <v>0</v>
      </c>
    </row>
    <row r="17" spans="1:6" ht="15.75" hidden="1" customHeight="1">
      <c r="A17" s="102" t="s">
        <v>2228</v>
      </c>
      <c r="B17" s="103" t="e">
        <f>SUM(C17:E17)</f>
        <v>#REF!</v>
      </c>
      <c r="C17" s="103">
        <f>SUM([3]PRE!G183)</f>
        <v>0</v>
      </c>
      <c r="D17" s="103" t="e">
        <f>SUM([1]Sheet1!J146:J155)</f>
        <v>#REF!</v>
      </c>
      <c r="E17" s="103" t="e">
        <f>SUM([1]Sheet1!K146:K155)</f>
        <v>#REF!</v>
      </c>
    </row>
    <row r="18" spans="1:6" ht="15.75" customHeight="1">
      <c r="A18" s="102" t="s">
        <v>2229</v>
      </c>
      <c r="F18" s="103">
        <f>F12+F16</f>
        <v>0</v>
      </c>
    </row>
    <row r="19" spans="1:6" ht="15.75" customHeight="1">
      <c r="A19" s="102" t="s">
        <v>2230</v>
      </c>
    </row>
    <row r="20" spans="1:6" ht="15.75" customHeight="1">
      <c r="A20" s="102" t="s">
        <v>2231</v>
      </c>
    </row>
    <row r="21" spans="1:6" ht="15.75" customHeight="1">
      <c r="A21" s="102" t="s">
        <v>2232</v>
      </c>
    </row>
    <row r="22" spans="1:6" ht="15.75" customHeight="1">
      <c r="A22" s="102" t="s">
        <v>2233</v>
      </c>
    </row>
    <row r="23" spans="1:6" ht="15.75" customHeight="1">
      <c r="A23" s="102" t="s">
        <v>2235</v>
      </c>
    </row>
    <row r="24" spans="1:6" ht="15.75" customHeight="1">
      <c r="A24" s="102" t="s">
        <v>2236</v>
      </c>
      <c r="C24" s="103">
        <v>0</v>
      </c>
    </row>
    <row r="25" spans="1:6" ht="15.75" customHeight="1">
      <c r="A25" s="102" t="s">
        <v>2237</v>
      </c>
    </row>
    <row r="26" spans="1:6" ht="15.75" customHeight="1">
      <c r="A26" s="102" t="s">
        <v>2238</v>
      </c>
    </row>
    <row r="27" spans="1:6" ht="15.75" customHeight="1">
      <c r="A27" s="102" t="s">
        <v>2239</v>
      </c>
    </row>
    <row r="28" spans="1:6" ht="15.75" customHeight="1">
      <c r="A28" s="102" t="s">
        <v>2240</v>
      </c>
      <c r="C28" s="105"/>
      <c r="F28" s="105">
        <f>SUM(C20:C24)</f>
        <v>0</v>
      </c>
    </row>
    <row r="29" spans="1:6" ht="15.75" customHeight="1">
      <c r="A29" s="102" t="s">
        <v>2241</v>
      </c>
    </row>
    <row r="30" spans="1:6" ht="15.75" customHeight="1" thickBot="1">
      <c r="A30" s="102" t="s">
        <v>2242</v>
      </c>
      <c r="F30" s="106">
        <f>F18+F28</f>
        <v>0</v>
      </c>
    </row>
    <row r="31" spans="1:6" ht="15.75" customHeight="1" thickTop="1">
      <c r="A31" s="102"/>
    </row>
    <row r="32" spans="1:6" ht="15.75" customHeight="1">
      <c r="A32" s="102"/>
    </row>
    <row r="33" spans="1:6" ht="15.75" customHeight="1">
      <c r="A33" s="102"/>
    </row>
    <row r="34" spans="1:6" ht="15.75" customHeight="1">
      <c r="B34" s="11"/>
      <c r="C34" s="11"/>
      <c r="D34" s="11"/>
      <c r="E34" s="11"/>
      <c r="F34" s="11"/>
    </row>
    <row r="35" spans="1:6" ht="15.75" hidden="1" customHeight="1">
      <c r="A35" s="104" t="s">
        <v>2243</v>
      </c>
      <c r="B35" s="11"/>
      <c r="C35" s="11"/>
      <c r="D35" s="11"/>
      <c r="E35" s="11"/>
      <c r="F35" s="11"/>
    </row>
    <row r="36" spans="1:6" ht="15.75" hidden="1" customHeight="1">
      <c r="A36" s="104" t="s">
        <v>2244</v>
      </c>
      <c r="B36" s="42" t="e">
        <f>+B38-B37</f>
        <v>#REF!</v>
      </c>
      <c r="C36" s="42">
        <f>+C38-C37</f>
        <v>14987551.300000001</v>
      </c>
      <c r="D36" s="42" t="e">
        <f>+D38-D37</f>
        <v>#REF!</v>
      </c>
      <c r="E36" s="42" t="e">
        <f>+E38-E37</f>
        <v>#REF!</v>
      </c>
      <c r="F36" s="42"/>
    </row>
    <row r="37" spans="1:6" ht="15.75" hidden="1" customHeight="1">
      <c r="A37" s="104" t="s">
        <v>1356</v>
      </c>
      <c r="B37" s="103" t="e">
        <f>SUM(C37:E37)</f>
        <v>#REF!</v>
      </c>
      <c r="C37" s="103">
        <v>0</v>
      </c>
      <c r="D37" s="103" t="e">
        <f>+[1]Sheet1!K278</f>
        <v>#REF!</v>
      </c>
      <c r="E37" s="103" t="e">
        <f>+[1]Sheet1!M278</f>
        <v>#REF!</v>
      </c>
    </row>
    <row r="38" spans="1:6" ht="15.75" hidden="1" customHeight="1">
      <c r="A38" s="104" t="s">
        <v>631</v>
      </c>
      <c r="B38" s="103" t="e">
        <f>SUM(C38:E38)</f>
        <v>#REF!</v>
      </c>
      <c r="C38" s="103">
        <f>[3]PRE!J203</f>
        <v>14987551.300000001</v>
      </c>
      <c r="D38" s="103" t="e">
        <f>+[1]Sheet1!L278</f>
        <v>#REF!</v>
      </c>
      <c r="E38" s="103" t="e">
        <f>+[1]Sheet1!N278</f>
        <v>#REF!</v>
      </c>
    </row>
    <row r="39" spans="1:6" ht="15.75" hidden="1" customHeight="1"/>
    <row r="40" spans="1:6" ht="15.75" hidden="1" customHeight="1">
      <c r="A40" s="104" t="s">
        <v>2064</v>
      </c>
      <c r="B40" s="42" t="e">
        <f>+B42-B41</f>
        <v>#REF!</v>
      </c>
      <c r="C40" s="42">
        <f>+C42-C41</f>
        <v>253511690.5800001</v>
      </c>
      <c r="D40" s="42" t="e">
        <f>+D42-D41</f>
        <v>#REF!</v>
      </c>
      <c r="E40" s="42" t="e">
        <f>+E42-E41</f>
        <v>#REF!</v>
      </c>
      <c r="F40" s="42"/>
    </row>
    <row r="41" spans="1:6" ht="15.75" hidden="1" customHeight="1">
      <c r="A41" s="104" t="s">
        <v>1356</v>
      </c>
      <c r="B41" s="103" t="e">
        <f>SUM(C41:E41)</f>
        <v>#REF!</v>
      </c>
      <c r="C41" s="103">
        <f>[4]tb!$J$198</f>
        <v>493534777.27000004</v>
      </c>
      <c r="D41" s="103" t="e">
        <f>+[1]Sheet1!K198</f>
        <v>#REF!</v>
      </c>
      <c r="E41" s="103" t="e">
        <f>+[1]Sheet1!M198</f>
        <v>#REF!</v>
      </c>
    </row>
    <row r="42" spans="1:6" ht="15.75" hidden="1" customHeight="1">
      <c r="A42" s="104" t="s">
        <v>631</v>
      </c>
      <c r="B42" s="103" t="e">
        <f>SUM(C42:E42)</f>
        <v>#REF!</v>
      </c>
      <c r="C42" s="103">
        <f>[3]PRE!J194</f>
        <v>747046467.85000014</v>
      </c>
      <c r="D42" s="103" t="e">
        <f>+[1]Sheet1!L198</f>
        <v>#REF!</v>
      </c>
      <c r="E42" s="103" t="e">
        <f>+[1]Sheet1!N198</f>
        <v>#REF!</v>
      </c>
    </row>
    <row r="45" spans="1:6" ht="15.75" customHeight="1">
      <c r="A45" s="104" t="s">
        <v>1236</v>
      </c>
    </row>
    <row r="49" spans="1:1" ht="15.75" customHeight="1">
      <c r="A49" s="101" t="s">
        <v>1237</v>
      </c>
    </row>
    <row r="50" spans="1:1" ht="15.75" customHeight="1">
      <c r="A50" s="104" t="s">
        <v>2065</v>
      </c>
    </row>
    <row r="51" spans="1:1" ht="15.75" customHeight="1">
      <c r="A51" s="104" t="s">
        <v>2066</v>
      </c>
    </row>
  </sheetData>
  <phoneticPr fontId="34" type="noConversion"/>
  <printOptions horizontalCentered="1"/>
  <pageMargins left="1.25" right="0.75" top="1" bottom="1" header="0.5" footer="0.5"/>
  <pageSetup paperSize="258" scale="90" orientation="portrait" horizontalDpi="4294967294" verticalDpi="300" r:id="rId1"/>
  <headerFooter alignWithMargins="0"/>
</worksheet>
</file>

<file path=xl/worksheets/sheet7.xml><?xml version="1.0" encoding="utf-8"?>
<worksheet xmlns="http://schemas.openxmlformats.org/spreadsheetml/2006/main" xmlns:r="http://schemas.openxmlformats.org/officeDocument/2006/relationships">
  <dimension ref="A1:IV1493"/>
  <sheetViews>
    <sheetView showGridLines="0" topLeftCell="A36" workbookViewId="0">
      <selection activeCell="E11" sqref="E11"/>
    </sheetView>
  </sheetViews>
  <sheetFormatPr defaultRowHeight="14.25"/>
  <cols>
    <col min="1" max="1" width="4.140625" style="234" customWidth="1"/>
    <col min="2" max="2" width="2" style="234" customWidth="1"/>
    <col min="3" max="3" width="18.85546875" style="234" customWidth="1"/>
    <col min="4" max="4" width="39" style="234" customWidth="1"/>
    <col min="5" max="5" width="19.5703125" style="234" customWidth="1"/>
    <col min="6" max="6" width="14.5703125" style="234" customWidth="1"/>
    <col min="7" max="7" width="20.85546875" style="234" customWidth="1"/>
    <col min="8" max="8" width="25.42578125" style="234" customWidth="1"/>
    <col min="9" max="9" width="16.5703125" style="234" customWidth="1"/>
    <col min="10" max="10" width="18.5703125" style="234" customWidth="1"/>
    <col min="11" max="11" width="19.28515625" style="234" customWidth="1"/>
    <col min="12" max="12" width="15.5703125" style="234" customWidth="1"/>
    <col min="13" max="13" width="20.42578125" style="234" customWidth="1"/>
    <col min="14" max="14" width="21.28515625" style="234" customWidth="1"/>
    <col min="15" max="15" width="15.140625" style="234" customWidth="1"/>
    <col min="16" max="16" width="12.28515625" style="234" customWidth="1"/>
    <col min="17" max="17" width="30" style="234" customWidth="1"/>
    <col min="18" max="18" width="11.28515625" style="234" bestFit="1" customWidth="1"/>
    <col min="19" max="19" width="17.5703125" style="234" customWidth="1"/>
    <col min="20" max="20" width="13.28515625" style="234" customWidth="1"/>
    <col min="21" max="21" width="12.85546875" style="234" bestFit="1" customWidth="1"/>
    <col min="22" max="23" width="9.140625" style="234"/>
    <col min="24" max="24" width="19.28515625" style="234" customWidth="1"/>
    <col min="25" max="25" width="17.28515625" style="234" customWidth="1"/>
    <col min="26" max="28" width="9.140625" style="234"/>
    <col min="29" max="29" width="13.7109375" style="234" customWidth="1"/>
    <col min="30" max="30" width="13.5703125" style="234" customWidth="1"/>
    <col min="31" max="31" width="15.7109375" style="234" customWidth="1"/>
    <col min="32" max="16384" width="9.140625" style="234"/>
  </cols>
  <sheetData>
    <row r="1" spans="1:9">
      <c r="A1" s="231" t="s">
        <v>1016</v>
      </c>
      <c r="B1" s="231"/>
      <c r="C1" s="231"/>
      <c r="D1" s="231"/>
      <c r="E1" s="231"/>
      <c r="F1" s="232"/>
      <c r="G1" s="233"/>
      <c r="H1" s="233"/>
      <c r="I1" s="233"/>
    </row>
    <row r="2" spans="1:9" ht="15">
      <c r="A2" s="235" t="s">
        <v>1017</v>
      </c>
      <c r="B2" s="235"/>
      <c r="C2" s="235"/>
      <c r="D2" s="235"/>
      <c r="E2" s="235"/>
      <c r="F2" s="236"/>
      <c r="G2" s="233"/>
      <c r="H2" s="233"/>
      <c r="I2" s="233"/>
    </row>
    <row r="3" spans="1:9">
      <c r="A3" s="231" t="s">
        <v>1018</v>
      </c>
      <c r="B3" s="231"/>
      <c r="C3" s="231"/>
      <c r="D3" s="231"/>
      <c r="E3" s="231"/>
      <c r="F3" s="232"/>
      <c r="G3" s="233"/>
      <c r="H3" s="233"/>
      <c r="I3" s="233"/>
    </row>
    <row r="4" spans="1:9">
      <c r="A4" s="231"/>
      <c r="B4" s="231"/>
      <c r="C4" s="231"/>
      <c r="D4" s="231"/>
      <c r="E4" s="231"/>
      <c r="F4" s="232"/>
      <c r="G4" s="233"/>
      <c r="H4" s="233"/>
      <c r="I4" s="233"/>
    </row>
    <row r="5" spans="1:9" ht="15">
      <c r="A5" s="235" t="s">
        <v>281</v>
      </c>
      <c r="B5" s="235"/>
      <c r="C5" s="235"/>
      <c r="D5" s="235"/>
      <c r="E5" s="235"/>
      <c r="F5" s="236"/>
      <c r="G5" s="233"/>
      <c r="H5" s="233"/>
      <c r="I5" s="233"/>
    </row>
    <row r="6" spans="1:9" ht="15">
      <c r="A6" s="237" t="s">
        <v>96</v>
      </c>
      <c r="B6" s="237"/>
      <c r="C6" s="237"/>
      <c r="D6" s="237"/>
      <c r="E6" s="237"/>
      <c r="F6" s="238"/>
    </row>
    <row r="7" spans="1:9" ht="15">
      <c r="A7" s="401" t="str">
        <f>+TB!A7</f>
        <v>As of  January  31, 2011</v>
      </c>
      <c r="B7" s="402"/>
      <c r="C7" s="402"/>
      <c r="D7" s="402"/>
      <c r="E7" s="402"/>
      <c r="F7" s="238"/>
    </row>
    <row r="8" spans="1:9" ht="15">
      <c r="A8" s="238"/>
      <c r="B8" s="238"/>
      <c r="C8" s="238"/>
      <c r="D8" s="238"/>
      <c r="E8" s="238"/>
      <c r="F8" s="238"/>
    </row>
    <row r="9" spans="1:9" ht="15">
      <c r="A9" s="239" t="s">
        <v>97</v>
      </c>
      <c r="C9" s="239"/>
    </row>
    <row r="10" spans="1:9" ht="15" hidden="1">
      <c r="A10" s="239"/>
      <c r="C10" s="234" t="s">
        <v>287</v>
      </c>
      <c r="E10" s="152">
        <f>92515.04-92515.04</f>
        <v>0</v>
      </c>
    </row>
    <row r="11" spans="1:9" ht="15">
      <c r="A11" s="239"/>
      <c r="C11" s="234" t="s">
        <v>0</v>
      </c>
      <c r="E11" s="151">
        <f>19911.05-370154.28+357554.28-735562.83+735464.31+671055.63-670356.58+502907.22+0.4-502932.43+278954.03-278954.03+350636.97-350636.97+61826.69-61761.69+276593.53-276593.62+121469.22-121469.22-60869.63+60869.63+99114.14-99114.14+442158.01-442158.01+253268.81-253268.81+373409.17-373409.17+199934.06-199934.06+151582.91-151582.91+113162.43-113162.43</f>
        <v>7951.6800000001094</v>
      </c>
    </row>
    <row r="12" spans="1:9" ht="15">
      <c r="A12" s="239"/>
      <c r="C12" s="234" t="s">
        <v>1</v>
      </c>
      <c r="E12" s="151">
        <f>3804.84-166413.19+156413.19+10000-247864.3+322435.3+416530.57-491101.57+117942.65-117942.65+153319.07-153319.07+108071.63-106071.63-2000</f>
        <v>3804.8400000000256</v>
      </c>
      <c r="F12" s="240"/>
    </row>
    <row r="13" spans="1:9" ht="15">
      <c r="A13" s="239"/>
      <c r="C13" s="234" t="s">
        <v>287</v>
      </c>
      <c r="E13" s="151">
        <f>216876.22-216896.22+197933.2-197933.2+466695.11-466695.11+637006.02-637006.02+396756.51-396756.51-978711.86+978712.66+522640.6-522520.6-464+1281293.05-1280629.05-0.8+527771.6-527771.6</f>
        <v>300</v>
      </c>
      <c r="F13" s="240"/>
    </row>
    <row r="14" spans="1:9" ht="15">
      <c r="A14" s="239"/>
      <c r="C14" s="239"/>
      <c r="E14" s="241">
        <f>SUM(E10:E13)</f>
        <v>12056.520000000135</v>
      </c>
      <c r="F14" s="152">
        <f>+E14-TB!G16</f>
        <v>12057.320000000182</v>
      </c>
    </row>
    <row r="15" spans="1:9" ht="15">
      <c r="B15" s="242"/>
      <c r="D15" s="243"/>
      <c r="E15" s="244"/>
      <c r="F15" s="245"/>
      <c r="G15" s="246"/>
      <c r="I15" s="152"/>
    </row>
    <row r="16" spans="1:9" ht="15">
      <c r="A16" s="247" t="s">
        <v>2</v>
      </c>
      <c r="C16" s="247"/>
      <c r="E16" s="248"/>
      <c r="F16" s="249"/>
      <c r="G16" s="151"/>
      <c r="I16" s="152"/>
    </row>
    <row r="17" spans="1:13">
      <c r="A17" s="250"/>
      <c r="C17" s="250" t="s">
        <v>3</v>
      </c>
      <c r="D17" s="250" t="s">
        <v>4</v>
      </c>
      <c r="E17" s="240">
        <f>209901.89+539600-566506.88-10000+18268+767093-246754.32+806.46-301097.08-229320.48+1025+3090-91733.08-10481.18+667600-205673.82+48-80000-25500+1723420-459126.25+663690-296475-148808.8+4958.8-565020-0.5-504386.22+5301.82+8400-397345.6-306591.5+150000+17035.72-35610-8200-67556.5+498400-5700-32200-35170.4+164-218603.04-119.6+5980-43769.96+852900</f>
        <v>1245932.4799999997</v>
      </c>
      <c r="F17" s="244"/>
      <c r="G17" s="246"/>
      <c r="I17" s="152"/>
    </row>
    <row r="18" spans="1:13">
      <c r="A18" s="250"/>
      <c r="C18" s="250" t="s">
        <v>5</v>
      </c>
      <c r="D18" s="243" t="s">
        <v>6</v>
      </c>
      <c r="E18" s="240">
        <v>37145.339999999997</v>
      </c>
      <c r="F18" s="244"/>
      <c r="G18" s="246"/>
      <c r="I18" s="152"/>
    </row>
    <row r="19" spans="1:13">
      <c r="A19" s="250"/>
      <c r="C19" s="250" t="s">
        <v>7</v>
      </c>
      <c r="D19" s="250" t="s">
        <v>755</v>
      </c>
      <c r="E19" s="240">
        <f>10152.77+13119.82+20133.47+33458.78+5+45600+79455.31</f>
        <v>201925.15</v>
      </c>
      <c r="F19" s="244"/>
      <c r="G19" s="248"/>
      <c r="I19" s="152"/>
    </row>
    <row r="20" spans="1:13">
      <c r="A20" s="250"/>
      <c r="C20" s="250" t="s">
        <v>756</v>
      </c>
      <c r="D20" s="250" t="s">
        <v>757</v>
      </c>
      <c r="E20" s="240">
        <v>466.98</v>
      </c>
      <c r="F20" s="244"/>
      <c r="G20" s="248"/>
      <c r="I20" s="152"/>
    </row>
    <row r="21" spans="1:13">
      <c r="A21" s="250"/>
      <c r="C21" s="250" t="s">
        <v>758</v>
      </c>
      <c r="D21" s="250" t="s">
        <v>759</v>
      </c>
      <c r="E21" s="240">
        <v>1160.3499999999999</v>
      </c>
      <c r="F21" s="244"/>
      <c r="G21" s="248"/>
      <c r="I21" s="152"/>
    </row>
    <row r="22" spans="1:13">
      <c r="A22" s="250"/>
      <c r="C22" s="250" t="s">
        <v>760</v>
      </c>
      <c r="D22" s="250" t="s">
        <v>761</v>
      </c>
      <c r="E22" s="240">
        <f>6792.07-5542.07</f>
        <v>1250</v>
      </c>
      <c r="F22" s="244"/>
      <c r="G22" s="248"/>
      <c r="I22" s="152"/>
    </row>
    <row r="23" spans="1:13">
      <c r="A23" s="250"/>
      <c r="C23" s="250" t="s">
        <v>762</v>
      </c>
      <c r="D23" s="250" t="s">
        <v>763</v>
      </c>
      <c r="E23" s="240">
        <f>1579.09+30</f>
        <v>1609.09</v>
      </c>
      <c r="F23" s="244"/>
      <c r="G23" s="248"/>
      <c r="I23" s="152"/>
    </row>
    <row r="24" spans="1:13">
      <c r="A24" s="250"/>
      <c r="C24" s="250" t="s">
        <v>764</v>
      </c>
      <c r="D24" s="250" t="s">
        <v>765</v>
      </c>
      <c r="E24" s="240">
        <f>13100299.14-4122238.07+15415636.1-5412381.29+15862220+5615874.14-15171078.7-4092088.17+4672519.54-165+14808997.18-4485716.44+8850438.88-5675295.86+8907588.89-13749045.72+3134796.33-4622382.41+8404100.29-6720-5223788.81+4906262.2-5306885.4+9423901+800-6595818.57-30000+13037923.57-11361377.98-4958.8+4129799.43-4941365.85-4372.3-36800.09+2643606.66-10041120.25-5301.82+3933853.16-5907264.55+2134584.64-2650921.76+1603047.37-2000-4537984.21+3465788.98-5096720.47-1922+5579782.03-4339072+3712813.19-2693499.26+5770917.83+24228.34-3337331.18+1404510.83-13336+1658.51-3111842.9+1475989.49-1573791.15+3338649.54-5468466.22+3097009.23-4025968.85+14500000</f>
        <v>39308574.410000026</v>
      </c>
      <c r="F24" s="244"/>
      <c r="G24" s="246"/>
      <c r="I24" s="152"/>
    </row>
    <row r="25" spans="1:13">
      <c r="A25" s="250"/>
      <c r="C25" s="250" t="s">
        <v>766</v>
      </c>
      <c r="D25" s="243" t="s">
        <v>767</v>
      </c>
      <c r="E25" s="251">
        <f>40917.91-7857-243-32500</f>
        <v>317.91000000000349</v>
      </c>
      <c r="F25" s="252"/>
      <c r="G25" s="248" t="s">
        <v>1492</v>
      </c>
      <c r="H25" s="234" t="s">
        <v>1493</v>
      </c>
      <c r="I25" s="253">
        <v>8100</v>
      </c>
    </row>
    <row r="26" spans="1:13">
      <c r="A26" s="250"/>
      <c r="C26" s="243" t="s">
        <v>1494</v>
      </c>
      <c r="D26" s="243" t="s">
        <v>1495</v>
      </c>
      <c r="E26" s="251">
        <f>42649.47-0.4-40500</f>
        <v>2149.0699999999997</v>
      </c>
      <c r="F26" s="252"/>
      <c r="G26" s="246"/>
      <c r="H26" s="246" t="s">
        <v>1496</v>
      </c>
      <c r="I26" s="253">
        <v>82500</v>
      </c>
    </row>
    <row r="27" spans="1:13">
      <c r="A27" s="250"/>
      <c r="C27" s="243" t="s">
        <v>1497</v>
      </c>
      <c r="D27" s="243" t="s">
        <v>1498</v>
      </c>
      <c r="E27" s="251">
        <f>15647.51-4034.78</f>
        <v>11612.73</v>
      </c>
      <c r="F27" s="252"/>
      <c r="G27" s="246"/>
      <c r="I27" s="152"/>
    </row>
    <row r="28" spans="1:13">
      <c r="A28" s="250"/>
      <c r="C28" s="243" t="s">
        <v>1499</v>
      </c>
      <c r="D28" s="243" t="s">
        <v>1495</v>
      </c>
      <c r="E28" s="244">
        <f>3067.29</f>
        <v>3067.29</v>
      </c>
      <c r="F28" s="252"/>
      <c r="G28" s="246"/>
      <c r="H28" s="234" t="s">
        <v>1500</v>
      </c>
      <c r="I28" s="253">
        <v>274885.98</v>
      </c>
    </row>
    <row r="29" spans="1:13">
      <c r="A29" s="250"/>
      <c r="C29" s="243" t="s">
        <v>1501</v>
      </c>
      <c r="D29" s="243" t="s">
        <v>1502</v>
      </c>
      <c r="E29" s="240">
        <f>224470.19</f>
        <v>224470.19</v>
      </c>
      <c r="F29" s="254"/>
      <c r="G29" s="151"/>
      <c r="H29" s="249" t="s">
        <v>1503</v>
      </c>
      <c r="I29" s="152">
        <v>42693.75</v>
      </c>
    </row>
    <row r="30" spans="1:13">
      <c r="A30" s="250"/>
      <c r="C30" s="255" t="s">
        <v>1504</v>
      </c>
      <c r="D30" s="243" t="s">
        <v>1505</v>
      </c>
      <c r="E30" s="240">
        <f>41048.48+39430-18086.4+4500+3500-15360.41-298.88+13030+6500+3500-2440.2-49.8+1600+1100+1500-3743.6+1000-4510.9+750-90.5+1500+3750-1708+4500-7737.1+250-10187.02+2500-417.88+1750+6500+1000+7000+1950+150-5423.8</f>
        <v>78253.990000000005</v>
      </c>
      <c r="F30" s="240"/>
      <c r="G30" s="151"/>
      <c r="H30" s="256" t="s">
        <v>1506</v>
      </c>
      <c r="I30" s="152">
        <v>10495</v>
      </c>
    </row>
    <row r="31" spans="1:13">
      <c r="A31" s="250"/>
      <c r="C31" s="255" t="s">
        <v>1507</v>
      </c>
      <c r="D31" s="243" t="s">
        <v>1508</v>
      </c>
      <c r="E31" s="240">
        <f>1322860.75-28443.5-15506.5-600+45785.41+10876.05+2673.94</f>
        <v>1337646.1499999999</v>
      </c>
      <c r="F31" s="244"/>
      <c r="G31" s="151"/>
      <c r="H31" s="256" t="s">
        <v>1509</v>
      </c>
      <c r="I31" s="152">
        <v>49120</v>
      </c>
    </row>
    <row r="32" spans="1:13">
      <c r="A32" s="250"/>
      <c r="C32" s="234" t="s">
        <v>1510</v>
      </c>
      <c r="D32" s="243" t="s">
        <v>1511</v>
      </c>
      <c r="E32" s="240">
        <f>261221.26-40992-34560-1440-24192-1008</f>
        <v>159029.26</v>
      </c>
      <c r="F32" s="250"/>
      <c r="G32" s="152"/>
      <c r="I32" s="253">
        <v>63700</v>
      </c>
      <c r="J32" s="255" t="s">
        <v>1512</v>
      </c>
      <c r="K32" s="234" t="s">
        <v>1513</v>
      </c>
      <c r="M32" s="234" t="s">
        <v>1514</v>
      </c>
    </row>
    <row r="33" spans="1:11">
      <c r="A33" s="250"/>
      <c r="C33" s="234" t="s">
        <v>1515</v>
      </c>
      <c r="D33" s="243" t="s">
        <v>1516</v>
      </c>
      <c r="E33" s="240">
        <f>4981332.63+0.6-1209340.04+766814.05-503404.01+691367.5+738878.15-107861.11-663534.38+717390.81+30643.8+957589.32-518902.43+15270+1607.13+678843.5-849490.65+778966.5-1365899.62+648626.21-886973.92+843319.8-686352.5+1133171.16-2765755.83+833608.49-823050+666554.09-90+0.1-580899.05+1056163.24-583291.34+4372.3+36800.09+654912.49-1195917.63+1575+598574.52-451426.85+647170.55-1423797.21-17035.72+991.07+489714.1-261193.28+812821.7-525356.06+877154.65-870495.89+739516.42-369379.99+818804.85-727862.23+551442.61-0.4-402076.29+728376.5-125195.71+796947.7-162053.98+585193.55-689576.3</f>
        <v>5118302.7599999979</v>
      </c>
      <c r="F33" s="250"/>
      <c r="G33" s="152"/>
      <c r="I33" s="253">
        <v>32500</v>
      </c>
      <c r="J33" s="257" t="s">
        <v>1517</v>
      </c>
      <c r="K33" s="234" t="s">
        <v>1518</v>
      </c>
    </row>
    <row r="34" spans="1:11">
      <c r="A34" s="250"/>
      <c r="C34" s="234" t="s">
        <v>1519</v>
      </c>
      <c r="D34" s="243" t="s">
        <v>1520</v>
      </c>
      <c r="E34" s="240">
        <f>4092402.61-29640-1405016.22+963423.25-907489.12+922711.86+1658941.6-10872.5-239792.37+1399956.31+1076013.86-1706740.69+1209922.36-1098580.69+1350094.88-2122363.94+1061442.43-2126461.68+1103125.81-45387.45+1540347.9-2054080.03+1248687-1793241.91+983986.49-530035.5+1902921.03-1244111.01+1101808.93-1080903.66+867896.65-931026.88+824262.55-1231533.85+3039.5+955997-335050.85+1073501.4-21323.01+1505553.31-1014419.66+998890.25-393118.05+1178892.38-2079140.08+1286959.27-757139.77+1041088.9-385221.79+1096232.76-1004399.17+1844511.32-2878387.18</f>
        <v>6867134.5500000026</v>
      </c>
      <c r="F34" s="258"/>
      <c r="G34" s="152"/>
      <c r="H34" s="234" t="s">
        <v>1023</v>
      </c>
      <c r="I34" s="259">
        <f>SUM(I25:I33)</f>
        <v>563994.73</v>
      </c>
    </row>
    <row r="35" spans="1:11" ht="15" hidden="1">
      <c r="A35" s="250"/>
      <c r="C35" s="234" t="s">
        <v>1521</v>
      </c>
      <c r="D35" s="243" t="s">
        <v>125</v>
      </c>
      <c r="E35" s="240">
        <f>18542.12-18542.12</f>
        <v>0</v>
      </c>
      <c r="F35" s="260" t="s">
        <v>1860</v>
      </c>
      <c r="G35" s="152"/>
      <c r="H35" s="234" t="s">
        <v>126</v>
      </c>
      <c r="I35" s="261">
        <f>E25-I34</f>
        <v>-563676.81999999995</v>
      </c>
      <c r="J35" s="255" t="s">
        <v>127</v>
      </c>
    </row>
    <row r="36" spans="1:11">
      <c r="A36" s="250"/>
      <c r="C36" s="234" t="s">
        <v>128</v>
      </c>
      <c r="D36" s="243" t="s">
        <v>129</v>
      </c>
      <c r="E36" s="240">
        <f>1008210.21-4718.92-16759.11-58082.1-14605.6-18791.4-9798.66-14413.21-5751.98-4550.08-350+6020.76+4550.08+4550.08-57888</f>
        <v>817622.07</v>
      </c>
      <c r="F36" s="250" t="s">
        <v>1221</v>
      </c>
      <c r="G36" s="152"/>
      <c r="I36" s="152"/>
    </row>
    <row r="37" spans="1:11">
      <c r="A37" s="250"/>
      <c r="C37" s="234" t="s">
        <v>130</v>
      </c>
      <c r="D37" s="243" t="s">
        <v>131</v>
      </c>
      <c r="E37" s="240">
        <f>174996.78-112.56-20556+90000-7920-9360-25780-21994.7-6455.65-27029.73-350-6020.76-42374.24-31808.26+13.5-6572.45-6666.4-2613-28484.31-3067.84-795.06-24.59-1650</f>
        <v>15374.729999999989</v>
      </c>
      <c r="F37" s="250"/>
      <c r="G37" s="152"/>
      <c r="I37" s="152"/>
    </row>
    <row r="38" spans="1:11">
      <c r="A38" s="250"/>
      <c r="C38" s="234" t="s">
        <v>132</v>
      </c>
      <c r="D38" s="243" t="s">
        <v>133</v>
      </c>
      <c r="E38" s="240">
        <f>459272.31-94500+75321-126000+131049+73498-105000-110160+29767.33+14943-263910+331813-75710+66397-56000+70307-94500+66403-42000+16179-42000+65469+58547-29500-63072+134408-73500+16225-84000+71762-127760+56283-47776+80464-52500+86635-344615.52+188196-108361.48+45188+143496-146801.37+66016.5-10500-61338.66+73586-88000+101532-82000+298391</f>
        <v>491643.11</v>
      </c>
      <c r="F38" s="250"/>
      <c r="G38" s="152"/>
      <c r="I38" s="152"/>
    </row>
    <row r="39" spans="1:11">
      <c r="A39" s="250"/>
      <c r="C39" s="234" t="s">
        <v>134</v>
      </c>
      <c r="D39" s="243" t="s">
        <v>135</v>
      </c>
      <c r="E39" s="240">
        <f>1156.39</f>
        <v>1156.3900000000001</v>
      </c>
      <c r="F39" s="250"/>
      <c r="G39" s="152"/>
      <c r="I39" s="152"/>
    </row>
    <row r="40" spans="1:11">
      <c r="A40" s="250"/>
      <c r="C40" s="234" t="s">
        <v>136</v>
      </c>
      <c r="D40" s="243" t="s">
        <v>137</v>
      </c>
      <c r="E40" s="240">
        <f>502987.89+29640-222559.07+27400-236.79+39100+240160-2822.12-14973+54600+25500-14977.6+46800-15109.48+52000-15000-17508.93+43100-310027.59+34200-1822.31+190000-326868.15+48400-1863+148750-162294.85+72300-14982.24+63815-15015+47500+57700-9577.87-16259.65-7320.52-991.07+49200-259204.56+260600-204351.83+150700-115745.52+106100-30020.5+38150+39600-567720.5+151500+75900-75000+63150</f>
        <v>236600.74000000011</v>
      </c>
      <c r="G40" s="152"/>
      <c r="I40" s="152"/>
    </row>
    <row r="41" spans="1:11">
      <c r="A41" s="250"/>
      <c r="C41" s="255" t="s">
        <v>138</v>
      </c>
      <c r="D41" s="243" t="s">
        <v>139</v>
      </c>
      <c r="E41" s="240">
        <f>14803798.86-6861128.87+2545656.29-3006751.37+952089.3+11744516.72-16783233.05-2645608.7+1526866.97-0.4+6693817.8-3556666.12-3063963.75+2241181.97-1768361.05+2844365.78-1215311.07+7870149.5-8799796.61+687849.5+10927288.48-12643272.72+982612.76-575816.71+913075.2-2487538.77+1669444.98+2582821.24-1895838.43+3763454.24-1203620.8+4929193-7003369.09-2854098.99+5206616.49-1180047.58+799410.84-3178116.73+5529592.23-2988096.08-996610.7+4664473.36-1708466.93-19.8+87762.67-3416072.07-897647.3+6619248.78-6571673.94-665528.87+2554699.56-1779097.16</f>
        <v>3394232.8599999994</v>
      </c>
      <c r="G41" s="152"/>
      <c r="I41" s="152"/>
    </row>
    <row r="42" spans="1:11">
      <c r="A42" s="250"/>
      <c r="C42" s="255" t="s">
        <v>140</v>
      </c>
      <c r="D42" s="243" t="s">
        <v>141</v>
      </c>
      <c r="E42" s="240">
        <f>3430887.47-282980.06-4533.14+8100000-130471.58-1400412.35-137047.22+2180000-926901.21-2671549.16-1895967.17-1402883.92-226273.73-115493.09+63072-1823297.85+18944.5-442609.37-337486.09+457596.09-1682454.46-60884.11-11850.28-2346.55+120-28134.38-183.91-22544.32-8747.68-5080-2360</f>
        <v>628128.42999999959</v>
      </c>
      <c r="G42" s="152"/>
      <c r="I42" s="152"/>
    </row>
    <row r="43" spans="1:11">
      <c r="A43" s="250"/>
      <c r="C43" s="234" t="s">
        <v>142</v>
      </c>
      <c r="D43" s="243" t="s">
        <v>143</v>
      </c>
      <c r="E43" s="240">
        <f>266284+41700+21820-187500+13235-60+10270+1560+32120+340+19400+2760+18420+26520+23180+6100-55176.8+1020-33587.22+16400+35160-16846.43+7530-953.57+5760</f>
        <v>255454.98</v>
      </c>
      <c r="F43" s="152"/>
      <c r="G43" s="152"/>
      <c r="I43" s="152"/>
    </row>
    <row r="44" spans="1:11">
      <c r="A44" s="250"/>
      <c r="C44" s="234" t="s">
        <v>144</v>
      </c>
      <c r="D44" s="243" t="s">
        <v>145</v>
      </c>
      <c r="E44" s="240">
        <f>837399.71-5000+892843+14000-376998.5-7462.5-225+1500-64241+500-500+500+23480-2400+1000+5250+500+500+2000+90207.94</f>
        <v>1412853.65</v>
      </c>
      <c r="F44" s="152"/>
      <c r="G44" s="152"/>
      <c r="I44" s="152"/>
    </row>
    <row r="45" spans="1:11">
      <c r="A45" s="250"/>
      <c r="C45" s="234" t="s">
        <v>146</v>
      </c>
      <c r="D45" s="243" t="s">
        <v>147</v>
      </c>
      <c r="E45" s="240">
        <f>5540000+9410000-686032.96+8400000-701062.47-6385113.84+1491087.56-1241876.3+50000000+1800000-50195961+3080000-666246.33+32000000-12277427.96+4370532.59+7955.37+33985.83-18576905.38+47537.87-2245279.28+42711359.55-7501383.7+520000-34385658.71-3374544.53+1019589.07-2564193.85+1040000-4095188.5+300.3+1455000+59478.98-1735131.15+18257817.17-5099101.78+1066358.56-13662335.15+4850000-5845392.63+1970000-2245023.17-179303.22</f>
        <v>15467840.939999979</v>
      </c>
      <c r="F45" s="152"/>
      <c r="G45" s="152"/>
      <c r="I45" s="152"/>
    </row>
    <row r="46" spans="1:11">
      <c r="A46" s="250"/>
      <c r="C46" s="234" t="s">
        <v>937</v>
      </c>
      <c r="D46" s="243" t="s">
        <v>938</v>
      </c>
      <c r="E46" s="240">
        <f>10000+3000000-3000000-1500+0.39</f>
        <v>8500.39</v>
      </c>
      <c r="F46" s="152"/>
      <c r="G46" s="152"/>
      <c r="I46" s="152"/>
    </row>
    <row r="47" spans="1:11">
      <c r="A47" s="250"/>
      <c r="C47" s="234" t="s">
        <v>940</v>
      </c>
      <c r="D47" s="243" t="s">
        <v>939</v>
      </c>
      <c r="E47" s="240">
        <f>10000+3000000+4061.34-1500-1718084.96-126217.62-39257.08+4518.69</f>
        <v>1133520.3699999996</v>
      </c>
      <c r="F47" s="152"/>
      <c r="G47" s="152"/>
      <c r="I47" s="152"/>
    </row>
    <row r="48" spans="1:11">
      <c r="A48" s="250"/>
      <c r="C48" s="234" t="s">
        <v>752</v>
      </c>
      <c r="D48" s="243" t="s">
        <v>1467</v>
      </c>
      <c r="E48" s="240">
        <v>5280000</v>
      </c>
      <c r="F48" s="152"/>
      <c r="G48" s="152"/>
      <c r="I48" s="152"/>
    </row>
    <row r="49" spans="1:10">
      <c r="A49" s="250"/>
      <c r="C49" s="234" t="s">
        <v>2571</v>
      </c>
      <c r="D49" s="243" t="s">
        <v>2572</v>
      </c>
      <c r="E49" s="240">
        <f>364572.2+121423.05+26310.6+58454+23668.75+344569.3-212492.15</f>
        <v>726505.74999999988</v>
      </c>
      <c r="F49" s="152"/>
      <c r="G49" s="152"/>
      <c r="I49" s="152"/>
    </row>
    <row r="50" spans="1:10">
      <c r="A50" s="250"/>
      <c r="D50" s="243"/>
      <c r="E50" s="262">
        <f>SUM(E16:E49)</f>
        <v>84469482.109999999</v>
      </c>
      <c r="F50" s="152">
        <f>+E50-TB!G18</f>
        <v>70136946.769999996</v>
      </c>
      <c r="G50" s="152"/>
      <c r="I50" s="152"/>
    </row>
    <row r="51" spans="1:10">
      <c r="A51" s="250"/>
      <c r="D51" s="243"/>
      <c r="E51" s="240"/>
      <c r="F51" s="152"/>
      <c r="G51" s="152"/>
      <c r="H51" s="234">
        <f>+F50/2</f>
        <v>35068473.384999998</v>
      </c>
      <c r="I51" s="152"/>
    </row>
    <row r="52" spans="1:10" ht="15">
      <c r="A52" s="247" t="s">
        <v>148</v>
      </c>
      <c r="D52" s="247"/>
      <c r="E52" s="152"/>
      <c r="F52" s="152"/>
      <c r="G52" s="152"/>
      <c r="I52" s="152"/>
    </row>
    <row r="53" spans="1:10">
      <c r="A53" s="250"/>
      <c r="D53" s="152" t="s">
        <v>149</v>
      </c>
      <c r="E53" s="151">
        <v>335118.08000000002</v>
      </c>
      <c r="F53" s="152"/>
      <c r="G53" s="152"/>
      <c r="I53" s="152"/>
    </row>
    <row r="54" spans="1:10">
      <c r="A54" s="250"/>
      <c r="D54" s="152" t="s">
        <v>150</v>
      </c>
      <c r="E54" s="151">
        <v>3000000</v>
      </c>
      <c r="F54" s="152"/>
      <c r="G54" s="152"/>
      <c r="I54" s="152"/>
    </row>
    <row r="55" spans="1:10">
      <c r="A55" s="250"/>
      <c r="D55" s="152" t="s">
        <v>151</v>
      </c>
      <c r="E55" s="151">
        <v>1000000</v>
      </c>
      <c r="F55" s="152"/>
      <c r="G55" s="152"/>
      <c r="I55" s="152"/>
    </row>
    <row r="56" spans="1:10" hidden="1">
      <c r="A56" s="250"/>
      <c r="D56" s="152" t="s">
        <v>152</v>
      </c>
      <c r="E56" s="151">
        <f>50000000-50000000+32000000-32000000</f>
        <v>0</v>
      </c>
      <c r="F56" s="152" t="s">
        <v>153</v>
      </c>
      <c r="G56" s="152"/>
      <c r="I56" s="152"/>
    </row>
    <row r="57" spans="1:10" ht="15.75" thickBot="1">
      <c r="A57" s="250"/>
      <c r="C57" s="247" t="s">
        <v>2229</v>
      </c>
      <c r="D57" s="250"/>
      <c r="E57" s="263">
        <f>SUM(E53:E56)</f>
        <v>4335118.08</v>
      </c>
      <c r="F57" s="245">
        <f>+E57-TB!G19</f>
        <v>4335118.08</v>
      </c>
      <c r="G57" s="152"/>
      <c r="H57" s="249"/>
      <c r="I57" s="152"/>
    </row>
    <row r="58" spans="1:10" ht="15.75" thickTop="1">
      <c r="A58" s="250"/>
      <c r="D58" s="250"/>
      <c r="E58" s="240"/>
      <c r="F58" s="245"/>
      <c r="G58" s="152"/>
      <c r="H58" s="249"/>
      <c r="I58" s="152"/>
    </row>
    <row r="59" spans="1:10" ht="15">
      <c r="A59" s="250"/>
      <c r="D59" s="250"/>
      <c r="E59" s="240"/>
      <c r="F59" s="245"/>
      <c r="G59" s="152"/>
      <c r="H59" s="249"/>
      <c r="I59" s="152"/>
    </row>
    <row r="60" spans="1:10" ht="15">
      <c r="A60" s="247" t="s">
        <v>154</v>
      </c>
      <c r="C60" s="247"/>
      <c r="E60" s="249"/>
      <c r="F60" s="246"/>
      <c r="G60" s="264"/>
      <c r="H60" s="152"/>
      <c r="I60" s="240"/>
      <c r="J60" s="152"/>
    </row>
    <row r="61" spans="1:10">
      <c r="C61" s="250" t="s">
        <v>155</v>
      </c>
      <c r="D61" s="250"/>
      <c r="E61" s="240">
        <v>79500</v>
      </c>
      <c r="F61" s="265"/>
      <c r="G61" s="264"/>
      <c r="H61" s="152"/>
      <c r="I61" s="240"/>
      <c r="J61" s="152"/>
    </row>
    <row r="62" spans="1:10">
      <c r="C62" s="250" t="s">
        <v>156</v>
      </c>
      <c r="D62" s="250"/>
      <c r="E62" s="240">
        <v>73224.850000000006</v>
      </c>
      <c r="F62" s="266"/>
      <c r="G62" s="264" t="s">
        <v>1888</v>
      </c>
      <c r="H62" s="152"/>
      <c r="I62" s="240"/>
      <c r="J62" s="152"/>
    </row>
    <row r="63" spans="1:10">
      <c r="C63" s="250" t="s">
        <v>157</v>
      </c>
      <c r="D63" s="250"/>
      <c r="E63" s="240">
        <v>90965.68</v>
      </c>
      <c r="F63" s="265"/>
      <c r="G63" s="264"/>
      <c r="H63" s="152"/>
      <c r="I63" s="240"/>
      <c r="J63" s="152"/>
    </row>
    <row r="64" spans="1:10">
      <c r="A64" s="267"/>
      <c r="B64" s="250"/>
      <c r="C64" s="250" t="s">
        <v>158</v>
      </c>
      <c r="D64" s="250"/>
      <c r="E64" s="240">
        <v>57400</v>
      </c>
      <c r="F64" s="240"/>
      <c r="G64" s="264"/>
      <c r="H64" s="152"/>
      <c r="I64" s="240"/>
      <c r="J64" s="152"/>
    </row>
    <row r="65" spans="1:10">
      <c r="A65" s="267"/>
      <c r="B65" s="250"/>
      <c r="C65" s="250" t="s">
        <v>159</v>
      </c>
      <c r="D65" s="250"/>
      <c r="E65" s="240">
        <v>87900</v>
      </c>
      <c r="F65" s="240"/>
      <c r="G65" s="264"/>
      <c r="H65" s="152"/>
      <c r="I65" s="152"/>
      <c r="J65" s="152"/>
    </row>
    <row r="66" spans="1:10">
      <c r="A66" s="267"/>
      <c r="B66" s="250"/>
      <c r="C66" s="250" t="s">
        <v>160</v>
      </c>
      <c r="D66" s="250"/>
      <c r="E66" s="240">
        <v>90901.89</v>
      </c>
      <c r="F66" s="244"/>
      <c r="G66" s="264"/>
      <c r="H66" s="152"/>
      <c r="I66" s="152"/>
      <c r="J66" s="152"/>
    </row>
    <row r="67" spans="1:10">
      <c r="A67" s="267"/>
      <c r="B67" s="250"/>
      <c r="C67" s="250" t="s">
        <v>161</v>
      </c>
      <c r="D67" s="250"/>
      <c r="E67" s="240">
        <v>96000.01</v>
      </c>
      <c r="F67" s="240"/>
      <c r="G67" s="264"/>
      <c r="H67" s="152"/>
      <c r="I67" s="152"/>
      <c r="J67" s="152"/>
    </row>
    <row r="68" spans="1:10">
      <c r="A68" s="267"/>
      <c r="B68" s="250"/>
      <c r="C68" s="250" t="s">
        <v>162</v>
      </c>
      <c r="D68" s="250"/>
      <c r="E68" s="240">
        <v>74009</v>
      </c>
      <c r="F68" s="240"/>
      <c r="G68" s="264"/>
      <c r="H68" s="152"/>
      <c r="I68" s="152"/>
      <c r="J68" s="152"/>
    </row>
    <row r="69" spans="1:10">
      <c r="A69" s="267"/>
      <c r="B69" s="250"/>
      <c r="C69" s="250" t="s">
        <v>163</v>
      </c>
      <c r="D69" s="250"/>
      <c r="E69" s="240">
        <v>86650</v>
      </c>
      <c r="F69" s="240"/>
      <c r="G69" s="151"/>
      <c r="H69" s="152"/>
      <c r="I69" s="152"/>
      <c r="J69" s="152"/>
    </row>
    <row r="70" spans="1:10">
      <c r="A70" s="267"/>
      <c r="B70" s="250"/>
      <c r="C70" s="250" t="s">
        <v>164</v>
      </c>
      <c r="D70" s="250"/>
      <c r="E70" s="240">
        <v>100000</v>
      </c>
      <c r="F70" s="240"/>
      <c r="G70" s="151"/>
      <c r="H70" s="152"/>
      <c r="I70" s="152"/>
      <c r="J70" s="152"/>
    </row>
    <row r="71" spans="1:10">
      <c r="A71" s="267"/>
      <c r="B71" s="250"/>
      <c r="C71" s="250" t="s">
        <v>165</v>
      </c>
      <c r="D71" s="250"/>
      <c r="E71" s="240">
        <v>80528</v>
      </c>
      <c r="F71" s="240"/>
      <c r="G71" s="151"/>
      <c r="H71" s="152"/>
      <c r="I71" s="152"/>
      <c r="J71" s="152"/>
    </row>
    <row r="72" spans="1:10">
      <c r="A72" s="267"/>
      <c r="B72" s="250"/>
      <c r="C72" s="250" t="s">
        <v>166</v>
      </c>
      <c r="D72" s="250"/>
      <c r="E72" s="240">
        <v>96270</v>
      </c>
      <c r="F72" s="240"/>
      <c r="G72" s="264"/>
      <c r="H72" s="152"/>
      <c r="I72" s="152"/>
      <c r="J72" s="152"/>
    </row>
    <row r="73" spans="1:10">
      <c r="A73" s="267"/>
      <c r="B73" s="250"/>
      <c r="C73" s="250" t="s">
        <v>167</v>
      </c>
      <c r="D73" s="250"/>
      <c r="E73" s="240">
        <v>72115</v>
      </c>
      <c r="F73" s="240"/>
      <c r="G73" s="264"/>
      <c r="H73" s="152"/>
      <c r="I73" s="152"/>
      <c r="J73" s="152"/>
    </row>
    <row r="74" spans="1:10">
      <c r="A74" s="267"/>
      <c r="B74" s="250"/>
      <c r="C74" s="250" t="s">
        <v>168</v>
      </c>
      <c r="D74" s="250"/>
      <c r="E74" s="240">
        <v>98000</v>
      </c>
      <c r="G74" s="264"/>
      <c r="H74" s="152"/>
      <c r="I74" s="152"/>
      <c r="J74" s="152"/>
    </row>
    <row r="75" spans="1:10" ht="15.75" thickBot="1">
      <c r="A75" s="267"/>
      <c r="B75" s="250"/>
      <c r="C75" s="268" t="s">
        <v>2229</v>
      </c>
      <c r="D75" s="250"/>
      <c r="E75" s="269">
        <f>SUM(E61:E74)</f>
        <v>1183464.4300000002</v>
      </c>
      <c r="F75" s="270">
        <f>+E75-TB!G37</f>
        <v>1183464.4300000002</v>
      </c>
      <c r="G75" s="264"/>
      <c r="H75" s="152"/>
      <c r="I75" s="152"/>
      <c r="J75" s="152"/>
    </row>
    <row r="76" spans="1:10" ht="15.75" thickTop="1">
      <c r="A76" s="267"/>
      <c r="B76" s="250"/>
      <c r="C76" s="250"/>
      <c r="D76" s="250"/>
      <c r="E76" s="240"/>
      <c r="F76" s="270"/>
      <c r="G76" s="264"/>
      <c r="H76" s="240"/>
      <c r="I76" s="240"/>
      <c r="J76" s="152"/>
    </row>
    <row r="77" spans="1:10" ht="15">
      <c r="A77" s="250"/>
      <c r="B77" s="250"/>
      <c r="C77" s="250"/>
      <c r="D77" s="250"/>
      <c r="E77" s="240"/>
      <c r="F77" s="270"/>
      <c r="G77" s="264"/>
      <c r="H77" s="152"/>
      <c r="I77" s="264"/>
      <c r="J77" s="152"/>
    </row>
    <row r="78" spans="1:10" ht="15">
      <c r="A78" s="268" t="s">
        <v>169</v>
      </c>
      <c r="B78" s="250"/>
      <c r="C78" s="250"/>
      <c r="D78" s="250"/>
      <c r="E78" s="240"/>
      <c r="F78" s="270"/>
      <c r="G78" s="264"/>
      <c r="H78" s="152"/>
      <c r="I78" s="264"/>
      <c r="J78" s="152"/>
    </row>
    <row r="79" spans="1:10" ht="15">
      <c r="A79" s="250"/>
      <c r="B79" s="250"/>
      <c r="C79" s="250"/>
      <c r="D79" s="250"/>
      <c r="E79" s="240"/>
      <c r="F79" s="270"/>
      <c r="G79" s="264"/>
      <c r="H79" s="152"/>
      <c r="I79" s="264"/>
      <c r="J79" s="152"/>
    </row>
    <row r="80" spans="1:10" ht="15" hidden="1">
      <c r="A80" s="250"/>
      <c r="B80" s="250"/>
      <c r="C80" s="250" t="s">
        <v>170</v>
      </c>
      <c r="D80" s="250"/>
      <c r="E80" s="240">
        <f>80000+200000-200000-80000</f>
        <v>0</v>
      </c>
      <c r="F80" s="270"/>
      <c r="G80" s="264"/>
      <c r="H80" s="152"/>
      <c r="I80" s="264"/>
      <c r="J80" s="152"/>
    </row>
    <row r="81" spans="1:10" ht="15" hidden="1">
      <c r="A81" s="250"/>
      <c r="B81" s="250"/>
      <c r="C81" s="250" t="s">
        <v>170</v>
      </c>
      <c r="D81" s="250"/>
      <c r="E81" s="240">
        <f>200000-200000</f>
        <v>0</v>
      </c>
      <c r="F81" s="270"/>
      <c r="G81" s="264"/>
      <c r="H81" s="152"/>
      <c r="I81" s="264"/>
      <c r="J81" s="152"/>
    </row>
    <row r="82" spans="1:10" ht="15">
      <c r="A82" s="250"/>
      <c r="B82" s="250"/>
      <c r="C82" s="250" t="s">
        <v>171</v>
      </c>
      <c r="D82" s="250"/>
      <c r="E82" s="240">
        <v>500000</v>
      </c>
      <c r="F82" s="270"/>
      <c r="G82" s="264"/>
      <c r="H82" s="152"/>
      <c r="I82" s="264"/>
      <c r="J82" s="152"/>
    </row>
    <row r="83" spans="1:10" ht="15">
      <c r="A83" s="250"/>
      <c r="B83" s="250"/>
      <c r="C83" s="250" t="s">
        <v>1126</v>
      </c>
      <c r="D83" s="250"/>
      <c r="E83" s="240">
        <v>200000</v>
      </c>
      <c r="F83" s="270"/>
      <c r="G83" s="264"/>
      <c r="H83" s="152"/>
      <c r="I83" s="264"/>
      <c r="J83" s="152"/>
    </row>
    <row r="84" spans="1:10" ht="15">
      <c r="A84" s="250"/>
      <c r="B84" s="250"/>
      <c r="C84" s="250" t="s">
        <v>944</v>
      </c>
      <c r="D84" s="250"/>
      <c r="E84" s="240">
        <v>10000</v>
      </c>
      <c r="F84" s="270"/>
      <c r="G84" s="264"/>
      <c r="H84" s="152"/>
      <c r="I84" s="264"/>
      <c r="J84" s="152"/>
    </row>
    <row r="85" spans="1:10" ht="15">
      <c r="A85" s="250"/>
      <c r="B85" s="250"/>
      <c r="C85" s="250" t="s">
        <v>172</v>
      </c>
      <c r="D85" s="250"/>
      <c r="E85" s="240">
        <v>135000</v>
      </c>
      <c r="F85" s="270"/>
      <c r="G85" s="264"/>
      <c r="H85" s="152"/>
      <c r="I85" s="264"/>
      <c r="J85" s="152"/>
    </row>
    <row r="86" spans="1:10" ht="15">
      <c r="A86" s="250"/>
      <c r="B86" s="250"/>
      <c r="C86" s="250" t="s">
        <v>173</v>
      </c>
      <c r="D86" s="250"/>
      <c r="E86" s="240">
        <v>60000</v>
      </c>
      <c r="F86" s="270"/>
      <c r="G86" s="264"/>
      <c r="H86" s="152"/>
      <c r="I86" s="264"/>
      <c r="J86" s="152"/>
    </row>
    <row r="87" spans="1:10" ht="15">
      <c r="A87" s="250"/>
      <c r="B87" s="250"/>
      <c r="C87" s="250" t="s">
        <v>174</v>
      </c>
      <c r="D87" s="250"/>
      <c r="E87" s="240">
        <v>135000</v>
      </c>
      <c r="F87" s="270"/>
      <c r="G87" s="264"/>
      <c r="H87" s="152"/>
      <c r="I87" s="264"/>
      <c r="J87" s="152"/>
    </row>
    <row r="88" spans="1:10" ht="15">
      <c r="A88" s="250"/>
      <c r="B88" s="250"/>
      <c r="C88" s="250" t="s">
        <v>175</v>
      </c>
      <c r="D88" s="250"/>
      <c r="E88" s="240">
        <f>200000-34000-51000-60775-16000</f>
        <v>38225</v>
      </c>
      <c r="F88" s="270"/>
      <c r="G88" s="264"/>
      <c r="H88" s="152"/>
      <c r="I88" s="264"/>
      <c r="J88" s="152"/>
    </row>
    <row r="89" spans="1:10" ht="15">
      <c r="A89" s="250"/>
      <c r="B89" s="250"/>
      <c r="C89" s="250" t="s">
        <v>177</v>
      </c>
      <c r="D89" s="250"/>
      <c r="E89" s="240">
        <v>135000</v>
      </c>
      <c r="F89" s="270"/>
      <c r="G89" s="264"/>
      <c r="H89" s="152"/>
      <c r="I89" s="264"/>
      <c r="J89" s="152"/>
    </row>
    <row r="90" spans="1:10" ht="15">
      <c r="A90" s="250"/>
      <c r="B90" s="250"/>
      <c r="C90" s="250" t="s">
        <v>945</v>
      </c>
      <c r="D90" s="250"/>
      <c r="E90" s="240">
        <v>100000</v>
      </c>
      <c r="F90" s="270"/>
      <c r="G90" s="264"/>
      <c r="H90" s="152"/>
      <c r="I90" s="264"/>
      <c r="J90" s="152"/>
    </row>
    <row r="91" spans="1:10" ht="15">
      <c r="A91" s="250"/>
      <c r="B91" s="250"/>
      <c r="C91" s="250" t="s">
        <v>176</v>
      </c>
      <c r="D91" s="250"/>
      <c r="E91" s="240">
        <f>50000-10000</f>
        <v>40000</v>
      </c>
      <c r="F91" s="270"/>
      <c r="G91" s="264"/>
      <c r="H91" s="152"/>
      <c r="I91" s="264"/>
      <c r="J91" s="152"/>
    </row>
    <row r="92" spans="1:10" ht="15">
      <c r="A92" s="250"/>
      <c r="B92" s="250"/>
      <c r="C92" s="250" t="s">
        <v>178</v>
      </c>
      <c r="D92" s="250"/>
      <c r="E92" s="240">
        <f>20000-4000</f>
        <v>16000</v>
      </c>
      <c r="F92" s="270"/>
      <c r="G92" s="264"/>
      <c r="H92" s="152"/>
      <c r="I92" s="264"/>
      <c r="J92" s="152"/>
    </row>
    <row r="93" spans="1:10" ht="15">
      <c r="A93" s="250"/>
      <c r="B93" s="250"/>
      <c r="C93" s="250" t="s">
        <v>828</v>
      </c>
      <c r="D93" s="250"/>
      <c r="E93" s="240">
        <v>100000</v>
      </c>
      <c r="F93" s="270"/>
      <c r="G93" s="264"/>
      <c r="H93" s="152"/>
      <c r="I93" s="264"/>
      <c r="J93" s="152"/>
    </row>
    <row r="94" spans="1:10" ht="15">
      <c r="A94" s="250"/>
      <c r="B94" s="250"/>
      <c r="C94" s="250" t="s">
        <v>179</v>
      </c>
      <c r="D94" s="250"/>
      <c r="E94" s="240">
        <v>50000</v>
      </c>
      <c r="F94" s="270"/>
      <c r="G94" s="264"/>
      <c r="H94" s="152"/>
      <c r="I94" s="264"/>
      <c r="J94" s="152"/>
    </row>
    <row r="95" spans="1:10" ht="15" hidden="1">
      <c r="A95" s="250"/>
      <c r="B95" s="250"/>
      <c r="C95" s="250" t="s">
        <v>2217</v>
      </c>
      <c r="D95" s="250"/>
      <c r="E95" s="240">
        <f>100000-65000-5000-30000</f>
        <v>0</v>
      </c>
      <c r="F95" s="270"/>
      <c r="G95" s="264"/>
      <c r="H95" s="152"/>
      <c r="I95" s="264"/>
      <c r="J95" s="152"/>
    </row>
    <row r="96" spans="1:10" ht="15">
      <c r="A96" s="250"/>
      <c r="B96" s="250"/>
      <c r="C96" s="250" t="s">
        <v>946</v>
      </c>
      <c r="D96" s="250"/>
      <c r="E96" s="240">
        <v>10000</v>
      </c>
      <c r="F96" s="270"/>
      <c r="G96" s="264"/>
      <c r="H96" s="152"/>
      <c r="I96" s="264"/>
      <c r="J96" s="152"/>
    </row>
    <row r="97" spans="1:10" ht="15">
      <c r="A97" s="250"/>
      <c r="B97" s="250"/>
      <c r="C97" s="250" t="s">
        <v>413</v>
      </c>
      <c r="D97" s="250"/>
      <c r="E97" s="240">
        <f>50000-10000-9000-3000</f>
        <v>28000</v>
      </c>
      <c r="F97" s="270"/>
      <c r="G97" s="264"/>
      <c r="H97" s="152"/>
      <c r="I97" s="264"/>
      <c r="J97" s="152"/>
    </row>
    <row r="98" spans="1:10" ht="15">
      <c r="A98" s="250"/>
      <c r="B98" s="250"/>
      <c r="C98" s="250" t="s">
        <v>2423</v>
      </c>
      <c r="D98" s="250"/>
      <c r="E98" s="240">
        <f>30000-5600-11200-8200-2000-6600</f>
        <v>-3600</v>
      </c>
      <c r="F98" s="270"/>
      <c r="G98" s="264"/>
      <c r="H98" s="152"/>
      <c r="I98" s="264"/>
      <c r="J98" s="152"/>
    </row>
    <row r="99" spans="1:10" ht="15">
      <c r="A99" s="250"/>
      <c r="B99" s="250"/>
      <c r="C99" s="250" t="s">
        <v>1684</v>
      </c>
      <c r="D99" s="250"/>
      <c r="E99" s="240">
        <f>200000-150000</f>
        <v>50000</v>
      </c>
      <c r="F99" s="270"/>
      <c r="G99" s="264"/>
      <c r="H99" s="152"/>
      <c r="I99" s="264"/>
      <c r="J99" s="152"/>
    </row>
    <row r="100" spans="1:10" ht="15">
      <c r="A100" s="250"/>
      <c r="B100" s="250"/>
      <c r="C100" s="250" t="s">
        <v>2422</v>
      </c>
      <c r="D100" s="250"/>
      <c r="E100" s="240">
        <v>200000</v>
      </c>
      <c r="F100" s="270"/>
      <c r="G100" s="264"/>
      <c r="H100" s="152"/>
      <c r="I100" s="264"/>
      <c r="J100" s="152"/>
    </row>
    <row r="101" spans="1:10" ht="15">
      <c r="A101" s="250"/>
      <c r="B101" s="250"/>
      <c r="C101" s="250" t="s">
        <v>2513</v>
      </c>
      <c r="D101" s="250"/>
      <c r="E101" s="240">
        <v>50000</v>
      </c>
      <c r="F101" s="270"/>
      <c r="G101" s="264"/>
      <c r="H101" s="152"/>
      <c r="I101" s="264"/>
      <c r="J101" s="152"/>
    </row>
    <row r="102" spans="1:10" ht="15">
      <c r="A102" s="250"/>
      <c r="B102" s="250"/>
      <c r="C102" s="250" t="s">
        <v>2514</v>
      </c>
      <c r="D102" s="250"/>
      <c r="E102" s="240">
        <v>50000</v>
      </c>
      <c r="F102" s="270"/>
      <c r="G102" s="264"/>
      <c r="H102" s="152"/>
      <c r="I102" s="264"/>
      <c r="J102" s="152"/>
    </row>
    <row r="103" spans="1:10" ht="15" hidden="1">
      <c r="A103" s="250"/>
      <c r="B103" s="250"/>
      <c r="C103" s="250" t="s">
        <v>1685</v>
      </c>
      <c r="D103" s="250"/>
      <c r="E103" s="240">
        <f>50000-8500-8500-33000+100000-8500-20000-71500</f>
        <v>0</v>
      </c>
      <c r="F103" s="270"/>
      <c r="G103" s="264"/>
      <c r="H103" s="152"/>
      <c r="I103" s="264"/>
      <c r="J103" s="152"/>
    </row>
    <row r="104" spans="1:10" ht="15.75" thickBot="1">
      <c r="A104" s="250"/>
      <c r="B104" s="250"/>
      <c r="C104" s="268" t="s">
        <v>2229</v>
      </c>
      <c r="D104" s="250"/>
      <c r="E104" s="271">
        <f>SUM(E80:E103)</f>
        <v>1903625</v>
      </c>
      <c r="F104" s="270">
        <f>+E104-TB!G38</f>
        <v>2183625</v>
      </c>
      <c r="G104" s="264"/>
      <c r="H104" s="152"/>
      <c r="I104" s="264"/>
      <c r="J104" s="152"/>
    </row>
    <row r="105" spans="1:10" ht="15">
      <c r="A105" s="250"/>
      <c r="B105" s="250"/>
      <c r="C105" s="250"/>
      <c r="D105" s="250"/>
      <c r="E105" s="240"/>
      <c r="F105" s="270"/>
      <c r="G105" s="264"/>
      <c r="H105" s="152"/>
      <c r="I105" s="264"/>
      <c r="J105" s="152"/>
    </row>
    <row r="106" spans="1:10" ht="15">
      <c r="A106" s="250"/>
      <c r="B106" s="250"/>
      <c r="C106" s="250"/>
      <c r="D106" s="250"/>
      <c r="E106" s="240"/>
      <c r="F106" s="270"/>
      <c r="G106" s="264"/>
      <c r="H106" s="152"/>
      <c r="I106" s="264"/>
      <c r="J106" s="152"/>
    </row>
    <row r="107" spans="1:10" ht="15">
      <c r="A107" s="247" t="s">
        <v>1357</v>
      </c>
      <c r="B107" s="255"/>
      <c r="C107" s="247"/>
      <c r="D107" s="243"/>
      <c r="E107" s="240"/>
      <c r="F107" s="270"/>
      <c r="G107" s="264"/>
      <c r="H107" s="152"/>
      <c r="I107" s="264"/>
      <c r="J107" s="152"/>
    </row>
    <row r="108" spans="1:10" ht="15">
      <c r="A108" s="247"/>
      <c r="B108" s="255"/>
      <c r="C108" s="272"/>
      <c r="D108" s="273"/>
      <c r="E108" s="240"/>
      <c r="F108" s="270"/>
      <c r="G108" s="264" t="s">
        <v>1492</v>
      </c>
      <c r="H108" s="152"/>
      <c r="I108" s="264"/>
      <c r="J108" s="152"/>
    </row>
    <row r="109" spans="1:10" ht="15">
      <c r="A109" s="247"/>
      <c r="B109" s="255"/>
      <c r="C109" s="234" t="s">
        <v>1792</v>
      </c>
      <c r="E109" s="151">
        <f>6769960</f>
        <v>6769960</v>
      </c>
      <c r="F109" s="270"/>
      <c r="G109" s="264">
        <f>E109</f>
        <v>6769960</v>
      </c>
      <c r="H109" s="152"/>
      <c r="I109" s="264"/>
      <c r="J109" s="152"/>
    </row>
    <row r="110" spans="1:10" ht="15">
      <c r="A110" s="247"/>
      <c r="B110" s="255"/>
      <c r="C110" s="274" t="s">
        <v>2094</v>
      </c>
      <c r="E110" s="152">
        <f>30000+30000-29834.27-165.73</f>
        <v>30000</v>
      </c>
      <c r="F110" s="270"/>
      <c r="G110" s="264">
        <v>285000</v>
      </c>
      <c r="H110" s="152"/>
      <c r="I110" s="264"/>
      <c r="J110" s="152"/>
    </row>
    <row r="111" spans="1:10" ht="15">
      <c r="A111" s="247"/>
      <c r="B111" s="255"/>
      <c r="C111" s="234" t="s">
        <v>2095</v>
      </c>
      <c r="E111" s="152">
        <f>14.25+30000+30000-29948.4-51.6+30000-29902.4-111.85-29978+30000-22+50000-29972-49558.25+50000-441.75-49669+50000-49974+50000+50000+50000-47629.34-48148.2-4297.01-1509.16-49275.05</f>
        <v>-473.76000000000204</v>
      </c>
      <c r="F111" s="270"/>
      <c r="G111" s="264"/>
      <c r="H111" s="152"/>
      <c r="I111" s="264"/>
      <c r="J111" s="152"/>
    </row>
    <row r="112" spans="1:10" ht="15">
      <c r="A112" s="247"/>
      <c r="B112" s="255"/>
      <c r="C112" s="234" t="s">
        <v>1412</v>
      </c>
      <c r="E112" s="151">
        <f>35000+250000</f>
        <v>285000</v>
      </c>
      <c r="F112" s="270"/>
      <c r="G112" s="264">
        <f>E126</f>
        <v>555000</v>
      </c>
      <c r="H112" s="152"/>
      <c r="I112" s="264"/>
      <c r="J112" s="152"/>
    </row>
    <row r="113" spans="1:11" ht="15">
      <c r="A113" s="247"/>
      <c r="B113" s="255"/>
      <c r="C113" s="234" t="s">
        <v>1413</v>
      </c>
      <c r="E113" s="152">
        <f>28507.9</f>
        <v>28507.9</v>
      </c>
      <c r="F113" s="270"/>
      <c r="G113" s="264">
        <f>E125</f>
        <v>7799999.9999999991</v>
      </c>
      <c r="H113" s="152"/>
      <c r="I113" s="264"/>
      <c r="J113" s="152"/>
    </row>
    <row r="114" spans="1:11" ht="15">
      <c r="A114" s="247"/>
      <c r="B114" s="255"/>
      <c r="C114" s="234" t="s">
        <v>1415</v>
      </c>
      <c r="E114" s="152">
        <f>26000</f>
        <v>26000</v>
      </c>
      <c r="F114" s="270"/>
      <c r="G114" s="264">
        <v>229053</v>
      </c>
      <c r="H114" s="152"/>
      <c r="I114" s="264"/>
      <c r="J114" s="152"/>
    </row>
    <row r="115" spans="1:11" ht="15">
      <c r="A115" s="247"/>
      <c r="B115" s="255"/>
      <c r="C115" s="234" t="s">
        <v>1417</v>
      </c>
      <c r="E115" s="151">
        <f>10126.39+92800-92261-539</f>
        <v>10126.39</v>
      </c>
      <c r="F115" s="270"/>
      <c r="G115" s="264"/>
      <c r="H115" s="152" t="s">
        <v>1416</v>
      </c>
      <c r="I115" s="264"/>
      <c r="J115" s="152"/>
    </row>
    <row r="116" spans="1:11" ht="15">
      <c r="A116" s="247"/>
      <c r="B116" s="255"/>
      <c r="C116" s="234" t="s">
        <v>1418</v>
      </c>
      <c r="E116" s="152">
        <f>254824</f>
        <v>254824</v>
      </c>
      <c r="F116" s="270"/>
      <c r="G116" s="264"/>
      <c r="H116" s="152"/>
      <c r="I116" s="264"/>
      <c r="J116" s="152"/>
    </row>
    <row r="117" spans="1:11" ht="15">
      <c r="A117" s="247"/>
      <c r="B117" s="255"/>
      <c r="C117" s="234" t="s">
        <v>1419</v>
      </c>
      <c r="E117" s="152">
        <f>5000+14200+30000+16600-28500-600-16000+18000-212.59-17787.41</f>
        <v>20700.000000000004</v>
      </c>
      <c r="F117" s="270"/>
      <c r="G117" s="264"/>
      <c r="H117" s="152"/>
      <c r="I117" s="264"/>
      <c r="J117" s="152"/>
    </row>
    <row r="118" spans="1:11" ht="15">
      <c r="A118" s="247"/>
      <c r="B118" s="255"/>
      <c r="C118" s="234" t="s">
        <v>1420</v>
      </c>
      <c r="E118" s="152">
        <f>717339.93-331000</f>
        <v>386339.93000000005</v>
      </c>
      <c r="F118" s="270"/>
      <c r="G118" s="264"/>
      <c r="H118" s="152"/>
      <c r="I118" s="264"/>
      <c r="J118" s="152"/>
    </row>
    <row r="119" spans="1:11" ht="15">
      <c r="A119" s="247"/>
      <c r="B119" s="255"/>
      <c r="C119" s="250" t="s">
        <v>1421</v>
      </c>
      <c r="D119" s="250"/>
      <c r="E119" s="240">
        <v>760</v>
      </c>
      <c r="F119" s="270"/>
      <c r="G119" s="264"/>
      <c r="H119" s="152"/>
      <c r="I119" s="264"/>
      <c r="J119" s="152"/>
      <c r="K119" s="249">
        <f>E119+E150+E295</f>
        <v>-3627.3800000001793</v>
      </c>
    </row>
    <row r="120" spans="1:11" ht="15">
      <c r="A120" s="247"/>
      <c r="B120" s="255"/>
      <c r="C120" s="250" t="s">
        <v>1423</v>
      </c>
      <c r="D120" s="250"/>
      <c r="E120" s="240">
        <v>12935.14</v>
      </c>
      <c r="F120" s="270"/>
      <c r="G120" s="264"/>
      <c r="H120" s="152" t="s">
        <v>1422</v>
      </c>
      <c r="I120" s="264"/>
      <c r="J120" s="152"/>
    </row>
    <row r="121" spans="1:11" ht="15">
      <c r="A121" s="247"/>
      <c r="B121" s="255"/>
      <c r="C121" s="243" t="s">
        <v>1424</v>
      </c>
      <c r="D121" s="250"/>
      <c r="E121" s="240">
        <f>167990-167990+68000</f>
        <v>68000</v>
      </c>
      <c r="F121" s="270"/>
      <c r="G121" s="264"/>
      <c r="H121" s="152"/>
      <c r="I121" s="264"/>
      <c r="J121" s="152"/>
    </row>
    <row r="122" spans="1:11" ht="15">
      <c r="A122" s="247"/>
      <c r="B122" s="255"/>
      <c r="C122" s="255" t="s">
        <v>1427</v>
      </c>
      <c r="E122" s="246">
        <v>22050</v>
      </c>
      <c r="F122" s="270"/>
      <c r="G122" s="264"/>
      <c r="H122" s="152"/>
      <c r="I122" s="264"/>
      <c r="J122" s="152"/>
    </row>
    <row r="123" spans="1:11" ht="15">
      <c r="A123" s="247"/>
      <c r="B123" s="255"/>
      <c r="C123" s="234" t="s">
        <v>1428</v>
      </c>
      <c r="E123" s="152">
        <f>83996.11-52053.57</f>
        <v>31942.54</v>
      </c>
      <c r="F123" s="270"/>
      <c r="G123" s="264"/>
      <c r="H123" s="152"/>
      <c r="I123" s="264"/>
      <c r="J123" s="152"/>
    </row>
    <row r="124" spans="1:11" ht="15">
      <c r="A124" s="247"/>
      <c r="B124" s="255"/>
      <c r="C124" s="234" t="s">
        <v>1428</v>
      </c>
      <c r="E124" s="152">
        <f>55181.82</f>
        <v>55181.82</v>
      </c>
      <c r="F124" s="270"/>
      <c r="G124" s="264"/>
      <c r="H124" s="152"/>
      <c r="I124" s="264"/>
      <c r="J124" s="152"/>
    </row>
    <row r="125" spans="1:11" ht="15">
      <c r="A125" s="247"/>
      <c r="B125" s="255"/>
      <c r="C125" s="234" t="s">
        <v>1428</v>
      </c>
      <c r="E125" s="152">
        <f>14500000-3027584.3-3672415.7</f>
        <v>7799999.9999999991</v>
      </c>
      <c r="F125" s="270"/>
      <c r="G125" s="264" t="s">
        <v>1429</v>
      </c>
      <c r="H125" s="152"/>
      <c r="I125" s="264"/>
      <c r="J125" s="152"/>
    </row>
    <row r="126" spans="1:11" ht="15">
      <c r="A126" s="247"/>
      <c r="B126" s="255"/>
      <c r="C126" s="234" t="s">
        <v>1428</v>
      </c>
      <c r="E126" s="152">
        <f>555000</f>
        <v>555000</v>
      </c>
      <c r="F126" s="270"/>
      <c r="G126" s="275">
        <f>E105+E113+E126+E132+E183+E254</f>
        <v>30054399.089999992</v>
      </c>
      <c r="H126" s="152"/>
      <c r="I126" s="264"/>
      <c r="J126" s="152"/>
    </row>
    <row r="127" spans="1:11" ht="15">
      <c r="A127" s="247"/>
      <c r="B127" s="255"/>
      <c r="C127" s="234" t="s">
        <v>1428</v>
      </c>
      <c r="E127" s="152">
        <f>614641</f>
        <v>614641</v>
      </c>
      <c r="F127" s="270"/>
      <c r="G127" s="264"/>
      <c r="H127" s="152"/>
      <c r="I127" s="264"/>
      <c r="J127" s="152"/>
    </row>
    <row r="128" spans="1:11" ht="15">
      <c r="A128" s="247"/>
      <c r="B128" s="255"/>
      <c r="C128" s="234" t="s">
        <v>1428</v>
      </c>
      <c r="E128" s="152">
        <v>485000</v>
      </c>
      <c r="F128" s="270"/>
      <c r="G128" s="264">
        <f>SUM(E124:E128)</f>
        <v>9509822.8200000003</v>
      </c>
      <c r="H128" s="152"/>
      <c r="I128" s="264"/>
      <c r="J128" s="152"/>
    </row>
    <row r="129" spans="1:10" ht="15">
      <c r="A129" s="247"/>
      <c r="B129" s="255"/>
      <c r="C129" s="234" t="s">
        <v>1430</v>
      </c>
      <c r="E129" s="152">
        <f>272000+150000-150000+17000+7000-7000-200</f>
        <v>288800</v>
      </c>
      <c r="F129" s="270"/>
      <c r="G129" s="264"/>
      <c r="H129" s="152"/>
      <c r="I129" s="264"/>
      <c r="J129" s="152"/>
    </row>
    <row r="130" spans="1:10" ht="15">
      <c r="A130" s="247"/>
      <c r="B130" s="255"/>
      <c r="C130" s="234" t="s">
        <v>1431</v>
      </c>
      <c r="E130" s="152">
        <f>142899.5-26500-71250-1500+22500+45000-21825-675-1680-43320</f>
        <v>43649.5</v>
      </c>
      <c r="F130" s="270"/>
      <c r="G130" s="264"/>
      <c r="H130" s="152"/>
      <c r="I130" s="264"/>
      <c r="J130" s="152"/>
    </row>
    <row r="131" spans="1:10" ht="15">
      <c r="A131" s="247"/>
      <c r="B131" s="255"/>
      <c r="C131" s="250" t="s">
        <v>1896</v>
      </c>
      <c r="D131" s="250"/>
      <c r="E131" s="240">
        <f>21871.6+10000-21871.6-501.42+20000-9498.58-862.6</f>
        <v>19137.400000000001</v>
      </c>
      <c r="F131" s="270"/>
      <c r="G131" s="264"/>
      <c r="H131" s="152"/>
      <c r="I131" s="264"/>
      <c r="J131" s="152"/>
    </row>
    <row r="132" spans="1:10" ht="15">
      <c r="A132" s="247"/>
      <c r="B132" s="255"/>
      <c r="C132" s="250" t="s">
        <v>1127</v>
      </c>
      <c r="D132" s="250"/>
      <c r="E132" s="240">
        <v>26000</v>
      </c>
      <c r="F132" s="270"/>
      <c r="G132" s="264"/>
      <c r="H132" s="152"/>
      <c r="I132" s="264"/>
      <c r="J132" s="152" t="e">
        <f>E117+E150+#REF!</f>
        <v>#REF!</v>
      </c>
    </row>
    <row r="133" spans="1:10" ht="15">
      <c r="A133" s="247"/>
      <c r="B133" s="255"/>
      <c r="C133" s="250" t="s">
        <v>2186</v>
      </c>
      <c r="D133" s="250"/>
      <c r="E133" s="240">
        <f>35000+3050</f>
        <v>38050</v>
      </c>
      <c r="F133" s="270"/>
      <c r="G133" s="264"/>
      <c r="H133" s="152"/>
      <c r="I133" s="264"/>
      <c r="J133" s="152"/>
    </row>
    <row r="134" spans="1:10" ht="15">
      <c r="A134" s="247"/>
      <c r="B134" s="255"/>
      <c r="C134" s="234" t="s">
        <v>2187</v>
      </c>
      <c r="E134" s="152">
        <f>191513.75-60642+97400-97400+300000-285211.07+28160-26752-1408</f>
        <v>145660.68</v>
      </c>
      <c r="F134" s="270"/>
      <c r="G134" s="264"/>
      <c r="H134" s="152"/>
      <c r="I134" s="264"/>
      <c r="J134" s="152"/>
    </row>
    <row r="135" spans="1:10" ht="15">
      <c r="A135" s="247"/>
      <c r="B135" s="255"/>
      <c r="C135" s="234" t="s">
        <v>2188</v>
      </c>
      <c r="E135" s="152">
        <f>20000+19474-19474</f>
        <v>20000</v>
      </c>
      <c r="F135" s="270"/>
      <c r="G135" s="264"/>
      <c r="H135" s="152"/>
      <c r="I135" s="264"/>
      <c r="J135" s="152"/>
    </row>
    <row r="136" spans="1:10" ht="15">
      <c r="A136" s="247"/>
      <c r="B136" s="255"/>
      <c r="C136" s="234" t="s">
        <v>2189</v>
      </c>
      <c r="E136" s="152">
        <f>14000+6000-715.55-13284.45</f>
        <v>6000</v>
      </c>
      <c r="F136" s="270"/>
      <c r="G136" s="264"/>
      <c r="H136" s="152"/>
      <c r="I136" s="264">
        <f ca="1">E117+E150+#REF!+I136</f>
        <v>0</v>
      </c>
      <c r="J136" s="152"/>
    </row>
    <row r="137" spans="1:10" ht="15">
      <c r="A137" s="247"/>
      <c r="B137" s="255"/>
      <c r="C137" s="234" t="s">
        <v>2190</v>
      </c>
      <c r="E137" s="152">
        <f>539806.18-350212.1-2752.27-10539+10000-162156.55+540.5-10000</f>
        <v>14686.760000000097</v>
      </c>
      <c r="F137" s="270"/>
      <c r="G137" s="264"/>
      <c r="H137" s="152"/>
      <c r="I137" s="264"/>
      <c r="J137" s="152"/>
    </row>
    <row r="138" spans="1:10" ht="15">
      <c r="A138" s="247"/>
      <c r="B138" s="255"/>
      <c r="C138" s="234" t="s">
        <v>2191</v>
      </c>
      <c r="E138" s="152">
        <f>20000+48000+16000-480-47520+5000+11785+24000-11785-5000+43000+27500-18928.57-1071.43-240-16000-7760-275-27225</f>
        <v>59000</v>
      </c>
      <c r="F138" s="270">
        <v>43000</v>
      </c>
      <c r="G138" s="264" t="s">
        <v>2192</v>
      </c>
      <c r="H138" s="152"/>
      <c r="I138" s="264"/>
      <c r="J138" s="152"/>
    </row>
    <row r="139" spans="1:10" ht="15">
      <c r="A139" s="247"/>
      <c r="B139" s="255"/>
      <c r="C139" s="234" t="s">
        <v>2193</v>
      </c>
      <c r="E139" s="152">
        <f>35192.46-12142.2+12142.2+20736.8+100057.15+22540+24794-193627.95+46863.8+22540-44403.8-186.8+266800+22540-23566.17+30879.8+20000+23441.6-22540+27498.8-313.48+27498.8-290241.6+650785.2-775.5-735572.72-2672.94+31105.2-31105.2+60000-2985.04-9.46-57005.5+272045-272045-47222+29400</f>
        <v>10445.449999999895</v>
      </c>
      <c r="H139" s="152"/>
      <c r="I139" s="264"/>
      <c r="J139" s="152"/>
    </row>
    <row r="140" spans="1:10" ht="15">
      <c r="A140" s="247"/>
      <c r="B140" s="255"/>
      <c r="C140" s="234" t="s">
        <v>2193</v>
      </c>
      <c r="D140" s="276" t="s">
        <v>2286</v>
      </c>
      <c r="E140" s="152">
        <f>50000-2639.17-12.87-29527.4</f>
        <v>17820.559999999998</v>
      </c>
      <c r="F140" s="270"/>
      <c r="G140" s="264"/>
      <c r="H140" s="152"/>
      <c r="I140" s="264"/>
      <c r="J140" s="152"/>
    </row>
    <row r="141" spans="1:10" ht="15">
      <c r="A141" s="247"/>
      <c r="B141" s="255"/>
      <c r="C141" s="234" t="s">
        <v>2193</v>
      </c>
      <c r="D141" s="276" t="s">
        <v>2086</v>
      </c>
      <c r="E141" s="152">
        <f>50000-47347.96</f>
        <v>2652.0400000000009</v>
      </c>
      <c r="F141" s="270"/>
      <c r="G141" s="264"/>
      <c r="H141" s="152"/>
      <c r="I141" s="264"/>
      <c r="J141" s="152"/>
    </row>
    <row r="142" spans="1:10" ht="15">
      <c r="A142" s="247"/>
      <c r="B142" s="255"/>
      <c r="C142" s="234" t="s">
        <v>2194</v>
      </c>
      <c r="D142" s="276"/>
      <c r="E142" s="152">
        <f>4500+12064.75+5906.02+1250-37.5+15000+5000+35000+25220-5906.02-1212.5-12064.75+49579.4-917.28-48662.12+41551.24+9500+10000-135+50000-1789.96+102025-8900-55424.6-32022.98</f>
        <v>199523.7</v>
      </c>
      <c r="F142" s="270"/>
      <c r="G142" s="264"/>
      <c r="H142" s="152"/>
      <c r="I142" s="264"/>
      <c r="J142" s="152"/>
    </row>
    <row r="143" spans="1:10" ht="15">
      <c r="A143" s="247"/>
      <c r="B143" s="255"/>
      <c r="C143" s="234" t="s">
        <v>2195</v>
      </c>
      <c r="D143" s="276"/>
      <c r="E143" s="152">
        <f>2000</f>
        <v>2000</v>
      </c>
      <c r="F143" s="270"/>
      <c r="G143" s="264"/>
      <c r="H143" s="152">
        <f>+E149</f>
        <v>120000</v>
      </c>
      <c r="I143" s="264"/>
      <c r="J143" s="152"/>
    </row>
    <row r="144" spans="1:10" ht="15">
      <c r="A144" s="247"/>
      <c r="B144" s="255"/>
      <c r="C144" s="234" t="s">
        <v>2196</v>
      </c>
      <c r="E144" s="152">
        <v>429744.12</v>
      </c>
      <c r="F144" s="270"/>
      <c r="G144" s="264"/>
      <c r="H144" s="152"/>
      <c r="I144" s="264"/>
      <c r="J144" s="152"/>
    </row>
    <row r="145" spans="1:10" ht="15">
      <c r="A145" s="247"/>
      <c r="B145" s="255"/>
      <c r="C145" s="234" t="s">
        <v>2196</v>
      </c>
      <c r="D145" s="276"/>
      <c r="E145" s="152">
        <v>-2040.9</v>
      </c>
      <c r="F145" s="270"/>
      <c r="G145" s="264"/>
      <c r="H145" s="152"/>
      <c r="I145" s="264"/>
      <c r="J145" s="152"/>
    </row>
    <row r="146" spans="1:10" ht="15">
      <c r="A146" s="247"/>
      <c r="B146" s="255"/>
      <c r="C146" s="234" t="s">
        <v>2197</v>
      </c>
      <c r="E146" s="152">
        <f>35025.88+34350+65000-4062.5-3456.7-1635.14+75000-70940.3-1393.75-1070.37+20000-32976-4687.5-0.02-18909.88-70312.5</f>
        <v>19931.219999999987</v>
      </c>
      <c r="F146" s="270"/>
      <c r="G146" s="264"/>
      <c r="H146" s="152"/>
      <c r="I146" s="264"/>
      <c r="J146" s="152"/>
    </row>
    <row r="147" spans="1:10" ht="15">
      <c r="A147" s="247"/>
      <c r="B147" s="255"/>
      <c r="C147" s="234" t="s">
        <v>2197</v>
      </c>
      <c r="D147" s="276" t="s">
        <v>2291</v>
      </c>
      <c r="E147" s="152">
        <v>80240</v>
      </c>
      <c r="F147" s="270"/>
      <c r="G147" s="264"/>
      <c r="H147" s="152"/>
      <c r="I147" s="264"/>
      <c r="J147" s="152"/>
    </row>
    <row r="148" spans="1:10" ht="15">
      <c r="A148" s="247"/>
      <c r="B148" s="255"/>
      <c r="C148" s="234" t="s">
        <v>2198</v>
      </c>
      <c r="E148" s="152">
        <f>3880930.09+53000+328000-517000+75000+123500+71000+214500-180000+226200+147000+85000-201000-11534.1+90000+160000+306000-468890.5+551000-310000+87000-52500-50000-135000-60000-50000-160000</f>
        <v>4202205.49</v>
      </c>
      <c r="F148" s="270">
        <f>+E148+E118+'[5]2009'!$D$100</f>
        <v>6413886.7799999993</v>
      </c>
      <c r="G148" s="264">
        <v>22300</v>
      </c>
      <c r="H148" s="152"/>
      <c r="I148" s="264"/>
      <c r="J148" s="152"/>
    </row>
    <row r="149" spans="1:10" ht="15">
      <c r="A149" s="247"/>
      <c r="B149" s="255"/>
      <c r="C149" s="234" t="s">
        <v>2198</v>
      </c>
      <c r="E149" s="152">
        <v>120000</v>
      </c>
      <c r="F149" s="270"/>
      <c r="G149" s="264"/>
      <c r="H149" s="152"/>
      <c r="I149" s="264"/>
      <c r="J149" s="152"/>
    </row>
    <row r="150" spans="1:10" ht="15">
      <c r="A150" s="247"/>
      <c r="B150" s="255"/>
      <c r="C150" s="250" t="s">
        <v>2199</v>
      </c>
      <c r="D150" s="250"/>
      <c r="E150" s="240">
        <f>1049737.64+83925-6653-43487.5-280945.3-10012.5+20000-110447.5+50000-1005-531800+20000-67720-11600-18750-699-94026+59327.49-53120.49+25000-10000-400-40000+16470-18627.5-4342.5+48250+50000-74590-29991.5-18.5+20000+51551+21000+24000-50000+94900-44351-7200-19499.17+14280+51100-36661-296-14280+7200-7200+5000-136226.21+191200+257750-33202-2008.5-27625-4134-5610-11006.25+46800+96100-10000-214984.75-150379.5+4500+38625+200000+56500+182600+102100+35165+10900-44460-91420-7020+500000+250000+350000-1-12361.25+200000+31000-190100-36842.75-10355-4365-638-95081.62-237840.6-150000-475275-26340.08+31100-200-24525-6663-5874+20000-94126-96987-29450-18810-29545-95679.04-93997.5+31000-1190-1555-8863-173737-53752.5-2747.5-670.88-31000+10000-9329.12-1224.6-33302.4</f>
        <v>-21147.380000000179</v>
      </c>
      <c r="F150" s="270"/>
      <c r="G150" s="264"/>
      <c r="H150" s="152"/>
      <c r="I150" s="264"/>
      <c r="J150" s="152"/>
    </row>
    <row r="151" spans="1:10" ht="15">
      <c r="A151" s="247"/>
      <c r="B151" s="255"/>
      <c r="C151" s="234" t="s">
        <v>689</v>
      </c>
      <c r="E151" s="152">
        <v>1430.9</v>
      </c>
      <c r="F151" s="270"/>
      <c r="G151" s="264">
        <v>168000</v>
      </c>
      <c r="H151" s="152"/>
      <c r="I151" s="264"/>
      <c r="J151" s="152"/>
    </row>
    <row r="152" spans="1:10" ht="15">
      <c r="A152" s="247"/>
      <c r="B152" s="255"/>
      <c r="C152" s="234" t="s">
        <v>690</v>
      </c>
      <c r="E152" s="152">
        <f>67000+82110.8+69200+60000-146555.26-104000+23500+17500-19832.49+61275-940-3063.75-167.51-22560-58211.25+550000+126789.9+49977-700-16800+20850-6339.5-1042.5+25000-25000-2498.31-550000-120450.4-19807.5-5500-47467.89</f>
        <v>2266.3400000000111</v>
      </c>
      <c r="F152" s="270"/>
      <c r="G152" s="264">
        <v>28507.9</v>
      </c>
      <c r="H152" s="152"/>
      <c r="I152" s="264"/>
      <c r="J152" s="152"/>
    </row>
    <row r="153" spans="1:10" ht="15">
      <c r="A153" s="247"/>
      <c r="B153" s="255"/>
      <c r="C153" s="234" t="s">
        <v>691</v>
      </c>
      <c r="E153" s="152">
        <v>200000</v>
      </c>
      <c r="F153" s="270"/>
      <c r="G153" s="264"/>
      <c r="H153" s="152"/>
      <c r="I153" s="264"/>
      <c r="J153" s="152"/>
    </row>
    <row r="154" spans="1:10" ht="15">
      <c r="A154" s="247"/>
      <c r="B154" s="255"/>
      <c r="C154" s="234" t="s">
        <v>691</v>
      </c>
      <c r="E154" s="152">
        <f>8950+80000-6842-2108+30000-80000+8000+30000+30000-8000-26500-30000-22812+8400+15000+94200+37660+20000-38248-1611+32900-18389-94200+99012-31913+120000+81000+50000+100000+10000-3200-47040-29074.8+50000-259497.5+20250+104110-36800-20250-987-900-1400+120000-860-6324.25-93675.75-98900-104110-120000+371890-371890+77175+62000+34000+100000+46900-45800-15000+48000+15000-1100+41250-4135-74733.04-62000-37115-2441.96+175000+26008-25008+50000-1000+29800-50000+91720+50000+6000+10975+8850-1025-18800-4738.7-29800-95261.3-8400+25300-1800-9750-23500</f>
        <v>352409.70000000007</v>
      </c>
      <c r="F154" s="270"/>
      <c r="G154" s="264">
        <v>5000</v>
      </c>
      <c r="H154" s="152"/>
      <c r="I154" s="264"/>
      <c r="J154" s="152"/>
    </row>
    <row r="155" spans="1:10" ht="15">
      <c r="A155" s="247"/>
      <c r="B155" s="255"/>
      <c r="C155" s="234" t="s">
        <v>691</v>
      </c>
      <c r="E155" s="152">
        <v>18150</v>
      </c>
      <c r="F155" s="270"/>
      <c r="G155" s="264"/>
      <c r="H155" s="152"/>
      <c r="I155" s="264"/>
      <c r="J155" s="152"/>
    </row>
    <row r="156" spans="1:10" ht="15">
      <c r="A156" s="247"/>
      <c r="B156" s="255"/>
      <c r="C156" s="234" t="s">
        <v>692</v>
      </c>
      <c r="E156" s="152">
        <f>244-89.16</f>
        <v>154.84</v>
      </c>
      <c r="F156" s="270"/>
      <c r="G156" s="264">
        <v>200000</v>
      </c>
      <c r="H156" s="152"/>
      <c r="I156" s="264"/>
      <c r="J156" s="152"/>
    </row>
    <row r="157" spans="1:10" ht="15">
      <c r="A157" s="247"/>
      <c r="B157" s="255"/>
      <c r="C157" s="234" t="s">
        <v>370</v>
      </c>
      <c r="D157" s="276"/>
      <c r="E157" s="152">
        <v>70000</v>
      </c>
      <c r="F157" s="270"/>
      <c r="G157" s="264"/>
      <c r="H157" s="152"/>
      <c r="I157" s="264"/>
      <c r="J157" s="152"/>
    </row>
    <row r="158" spans="1:10" ht="15">
      <c r="A158" s="247"/>
      <c r="B158" s="255"/>
      <c r="C158" s="250" t="s">
        <v>693</v>
      </c>
      <c r="D158" s="250"/>
      <c r="E158" s="240">
        <f>20000+229053+51564-20000+25570+30000+70000+115000+200000-12270.7-216782.3+33080+90000+60000</f>
        <v>675214</v>
      </c>
      <c r="F158" s="270"/>
      <c r="G158" s="264"/>
      <c r="H158" s="152"/>
      <c r="I158" s="264"/>
      <c r="J158" s="152"/>
    </row>
    <row r="159" spans="1:10" ht="15">
      <c r="A159" s="247"/>
      <c r="B159" s="255"/>
      <c r="C159" s="250" t="s">
        <v>694</v>
      </c>
      <c r="D159" s="250"/>
      <c r="E159" s="240">
        <f>465.14+1296341.97-1271341.97-1.95-24998.05</f>
        <v>465.13999999989755</v>
      </c>
      <c r="F159" s="270"/>
      <c r="G159" s="264">
        <v>680430</v>
      </c>
      <c r="H159" s="152"/>
      <c r="I159" s="264"/>
      <c r="J159" s="152"/>
    </row>
    <row r="160" spans="1:10" ht="15">
      <c r="A160" s="247"/>
      <c r="B160" s="255"/>
      <c r="C160" s="250" t="s">
        <v>695</v>
      </c>
      <c r="D160" s="250"/>
      <c r="E160" s="240">
        <f>13750-13750+13750+27500+55000+55950-13750+27500+650-27500+77015-52952.68-27500+27500-27500+15000-52668.74+27500-4631.8-306.42-27500+52500-72383.2-1401.18-65792.4+27500+15000-27500+27500+27500-27500-803.57+27500-27500-14196.43-27500+27500-27500</f>
        <v>5978.5800000000381</v>
      </c>
      <c r="F160" s="270"/>
      <c r="G160" s="264">
        <f>E183</f>
        <v>96500</v>
      </c>
      <c r="H160" s="152"/>
      <c r="I160" s="264"/>
      <c r="J160" s="152"/>
    </row>
    <row r="161" spans="1:10" ht="15">
      <c r="A161" s="247"/>
      <c r="B161" s="255"/>
      <c r="C161" s="250" t="s">
        <v>696</v>
      </c>
      <c r="D161" s="250"/>
      <c r="E161" s="240">
        <f>90000+63375+16500+14400+10000-30830.36-30824.29</f>
        <v>132620.35</v>
      </c>
      <c r="F161" s="270"/>
      <c r="G161" s="264"/>
      <c r="H161" s="152"/>
      <c r="I161" s="264"/>
      <c r="J161" s="152"/>
    </row>
    <row r="162" spans="1:10" ht="15">
      <c r="A162" s="247"/>
      <c r="B162" s="255"/>
      <c r="C162" s="250" t="s">
        <v>2218</v>
      </c>
      <c r="D162" s="250"/>
      <c r="E162" s="240">
        <f>50000-2500+50000-1950-4850-43200+30000-1500-28500-1500</f>
        <v>46000</v>
      </c>
      <c r="F162" s="270"/>
      <c r="G162" s="264">
        <v>12759.6</v>
      </c>
      <c r="H162" s="152"/>
      <c r="I162" s="264"/>
      <c r="J162" s="152"/>
    </row>
    <row r="163" spans="1:10" ht="15">
      <c r="A163" s="247"/>
      <c r="B163" s="255"/>
      <c r="C163" s="234" t="s">
        <v>698</v>
      </c>
      <c r="E163" s="246">
        <f>20000+20000+8100-40000+20000-20000+8000-8000-7566+8000+7800+30400+60000+10000+25000+14400-240-771.43-361.61-15498.39-1216-13628.57-29184-204.9-24795.1</f>
        <v>70234</v>
      </c>
      <c r="F163" s="270"/>
      <c r="G163" s="264"/>
      <c r="H163" s="152"/>
      <c r="I163" s="264"/>
      <c r="J163" s="152"/>
    </row>
    <row r="164" spans="1:10" ht="15">
      <c r="A164" s="247"/>
      <c r="B164" s="255"/>
      <c r="C164" s="234" t="s">
        <v>699</v>
      </c>
      <c r="E164" s="152">
        <f>231000+100000+200000+50000+150845+37720+75000-6981.47+100000-193018.53-5447.46-97140.04+155000+80000+100000+100000</f>
        <v>1076977.5</v>
      </c>
      <c r="F164" s="270"/>
      <c r="G164" s="264">
        <v>6000</v>
      </c>
      <c r="H164" s="152"/>
      <c r="I164" s="264"/>
      <c r="J164" s="152"/>
    </row>
    <row r="165" spans="1:10" ht="15">
      <c r="A165" s="247"/>
      <c r="B165" s="255"/>
      <c r="C165" s="234" t="s">
        <v>703</v>
      </c>
      <c r="E165" s="152">
        <f>28488.8-28488+12000+25000+15000+15000+15000+20000+11000+10000</f>
        <v>123000.8</v>
      </c>
      <c r="F165" s="270"/>
      <c r="G165" s="264">
        <v>30426</v>
      </c>
      <c r="H165" s="152"/>
      <c r="I165" s="264"/>
      <c r="J165" s="152"/>
    </row>
    <row r="166" spans="1:10" ht="15">
      <c r="A166" s="247"/>
      <c r="B166" s="255"/>
      <c r="C166" s="234" t="s">
        <v>284</v>
      </c>
      <c r="E166" s="152">
        <f>111170.87-17694.43-1001.57-1304-25000-2134.28-37705.72</f>
        <v>26330.869999999995</v>
      </c>
      <c r="F166" s="270"/>
      <c r="G166" s="264">
        <v>70000</v>
      </c>
      <c r="H166" s="152"/>
      <c r="I166" s="264"/>
      <c r="J166" s="152"/>
    </row>
    <row r="167" spans="1:10" ht="15">
      <c r="A167" s="247"/>
      <c r="B167" s="255"/>
      <c r="C167" s="234" t="s">
        <v>284</v>
      </c>
      <c r="E167" s="152">
        <v>14200</v>
      </c>
      <c r="F167" s="270"/>
      <c r="G167" s="264"/>
      <c r="H167" s="152"/>
      <c r="I167" s="264"/>
      <c r="J167" s="152"/>
    </row>
    <row r="168" spans="1:10" ht="15">
      <c r="A168" s="247"/>
      <c r="B168" s="255"/>
      <c r="C168" s="234" t="s">
        <v>704</v>
      </c>
      <c r="E168" s="152">
        <f>949130.93-211185+120000+60000+8250-1.35+55000-338248.5-21.5-105000+200000-48+80000+357600-119952-467800-2640-17160-30000</f>
        <v>537924.58000000007</v>
      </c>
      <c r="F168" s="270"/>
      <c r="G168" s="264">
        <v>125000</v>
      </c>
      <c r="H168" s="152"/>
      <c r="I168" s="264"/>
      <c r="J168" s="152"/>
    </row>
    <row r="169" spans="1:10" ht="15">
      <c r="A169" s="247"/>
      <c r="B169" s="255"/>
      <c r="C169" s="234" t="s">
        <v>1648</v>
      </c>
      <c r="E169" s="152">
        <f>426530-409468.8-17061.2+13180+210000+296965-296965+20000+399870+37020+493352.93+60000-95500+95500+234000+18000-530372.93</f>
        <v>955049.99999999988</v>
      </c>
      <c r="F169" s="270"/>
      <c r="G169" s="264">
        <v>20000</v>
      </c>
      <c r="H169" s="152"/>
      <c r="I169" s="264"/>
      <c r="J169" s="152"/>
    </row>
    <row r="170" spans="1:10" ht="15">
      <c r="A170" s="247"/>
      <c r="B170" s="255"/>
      <c r="C170" s="234" t="s">
        <v>705</v>
      </c>
      <c r="E170" s="152">
        <f>100000+45000</f>
        <v>145000</v>
      </c>
      <c r="F170" s="270"/>
      <c r="G170" s="264">
        <v>3200000</v>
      </c>
      <c r="H170" s="152"/>
      <c r="I170" s="264"/>
      <c r="J170" s="152"/>
    </row>
    <row r="171" spans="1:10" ht="15">
      <c r="A171" s="247"/>
      <c r="B171" s="255"/>
      <c r="C171" s="234" t="s">
        <v>706</v>
      </c>
      <c r="E171" s="152">
        <v>40000</v>
      </c>
      <c r="F171" s="270"/>
      <c r="G171" s="264">
        <v>533490.9</v>
      </c>
      <c r="H171" s="152"/>
      <c r="I171" s="264"/>
      <c r="J171" s="152"/>
    </row>
    <row r="172" spans="1:10" ht="15">
      <c r="A172" s="247"/>
      <c r="B172" s="255"/>
      <c r="C172" s="234" t="s">
        <v>2424</v>
      </c>
      <c r="E172" s="152">
        <f>36020-1050+110116-6006.96-104109.04+680-680+20900+50000-1207.39-50000-19692.61+65000+85000-811.88+19700+271330-185-1445-3356.52+49000+1230000-1322.09+7000000-270007.91-18665-61458.48-8230000-35208.12-288-84712</f>
        <v>47539.999999999185</v>
      </c>
      <c r="F172" s="270"/>
      <c r="G172" s="264">
        <v>10000</v>
      </c>
      <c r="H172" s="152"/>
      <c r="I172" s="264"/>
      <c r="J172" s="152"/>
    </row>
    <row r="173" spans="1:10" ht="15">
      <c r="A173" s="247"/>
      <c r="B173" s="255"/>
      <c r="C173" s="234" t="s">
        <v>2425</v>
      </c>
      <c r="E173" s="152">
        <v>1368</v>
      </c>
      <c r="F173" s="270"/>
      <c r="G173" s="264">
        <v>35000</v>
      </c>
      <c r="H173" s="152"/>
      <c r="I173" s="264"/>
      <c r="J173" s="152"/>
    </row>
    <row r="174" spans="1:10" ht="15">
      <c r="A174" s="247"/>
      <c r="B174" s="255"/>
      <c r="C174" s="234" t="s">
        <v>2426</v>
      </c>
      <c r="E174" s="152">
        <v>379000</v>
      </c>
      <c r="F174" s="270"/>
      <c r="G174" s="264"/>
      <c r="H174" s="152"/>
      <c r="I174" s="264"/>
      <c r="J174" s="152"/>
    </row>
    <row r="175" spans="1:10" ht="15">
      <c r="A175" s="247"/>
      <c r="B175" s="255"/>
      <c r="C175" s="234" t="s">
        <v>2427</v>
      </c>
      <c r="E175" s="152">
        <f>125850.12+21450+20000-670.5-525-750-223.5-1482+45000-9975-1961.93+60000-1416.65-144970.45-1618.97-1732.65+161940-28267.35-1711.06-6455.07+106940-155713.89+8572+31940-1711.07-2567.13-1272.94+13023+29400+25000-588.9-1536.1+59400-1009.23-1607.15+30000-109940.86-3150-1585.94+0.02+79400-252694.29-2792.63-20-1000-270-8730-19000-2695.94-47304.06-1258.46</f>
        <v>-293.58000000008269</v>
      </c>
      <c r="F175" s="270"/>
      <c r="G175" s="264">
        <v>20000</v>
      </c>
      <c r="H175" s="152"/>
      <c r="I175" s="264"/>
      <c r="J175" s="152"/>
    </row>
    <row r="176" spans="1:10" ht="15">
      <c r="A176" s="247"/>
      <c r="B176" s="255"/>
      <c r="C176" s="234" t="s">
        <v>1895</v>
      </c>
      <c r="D176" s="276" t="s">
        <v>2084</v>
      </c>
      <c r="E176" s="152">
        <v>100000</v>
      </c>
      <c r="F176" s="270"/>
      <c r="G176" s="264"/>
      <c r="H176" s="152"/>
      <c r="I176" s="264"/>
      <c r="J176" s="152"/>
    </row>
    <row r="177" spans="1:10" ht="15">
      <c r="A177" s="247"/>
      <c r="B177" s="255"/>
      <c r="C177" s="234" t="s">
        <v>2429</v>
      </c>
      <c r="D177" s="276"/>
      <c r="E177" s="152">
        <f>199229.94+20000+20000-100000+368414-68573.74+10000-7650+70000-135150-3868.69-78321.81-6125.82+1100000+670000+76500-175-300+17000-1880344.11-9821.43-5982.14-1849.1+175-68150.9-2855-238.56-4556.75-86578.25-73645</f>
        <v>17132.639999999781</v>
      </c>
      <c r="F177" s="270"/>
      <c r="G177" s="264"/>
      <c r="H177" s="152"/>
      <c r="I177" s="264"/>
      <c r="J177" s="152"/>
    </row>
    <row r="178" spans="1:10" ht="15">
      <c r="A178" s="247"/>
      <c r="B178" s="255"/>
      <c r="C178" s="234" t="s">
        <v>2429</v>
      </c>
      <c r="D178" s="276" t="s">
        <v>1490</v>
      </c>
      <c r="E178" s="152">
        <v>50000</v>
      </c>
      <c r="F178" s="270"/>
      <c r="G178" s="264">
        <v>14000</v>
      </c>
      <c r="H178" s="152"/>
      <c r="I178" s="264"/>
      <c r="J178" s="152"/>
    </row>
    <row r="179" spans="1:10" ht="15">
      <c r="A179" s="247"/>
      <c r="B179" s="255"/>
      <c r="C179" s="234" t="s">
        <v>2429</v>
      </c>
      <c r="D179" s="276"/>
      <c r="E179" s="152">
        <f>26250-25012.5</f>
        <v>1237.5</v>
      </c>
      <c r="F179" s="270" t="s">
        <v>280</v>
      </c>
      <c r="G179" s="264"/>
      <c r="H179" s="152"/>
      <c r="I179" s="264"/>
      <c r="J179" s="152"/>
    </row>
    <row r="180" spans="1:10" ht="15">
      <c r="A180" s="247"/>
      <c r="B180" s="255"/>
      <c r="C180" s="234" t="s">
        <v>2431</v>
      </c>
      <c r="D180" s="276"/>
      <c r="E180" s="152">
        <f>10000-1608.52-358.57-7673.34+127100-12695.21-114404.79</f>
        <v>359.57000000002154</v>
      </c>
      <c r="F180" s="270"/>
      <c r="G180" s="264">
        <v>16600</v>
      </c>
      <c r="H180" s="152"/>
      <c r="I180" s="264"/>
      <c r="J180" s="152"/>
    </row>
    <row r="181" spans="1:10" ht="15">
      <c r="A181" s="247"/>
      <c r="B181" s="255"/>
      <c r="C181" s="234" t="s">
        <v>220</v>
      </c>
      <c r="D181" s="276"/>
      <c r="E181" s="152">
        <f>80600+180000+82500+70000+125000+20000+32500+95250</f>
        <v>685850</v>
      </c>
      <c r="F181" s="270"/>
      <c r="G181" s="264"/>
      <c r="H181" s="152"/>
      <c r="I181" s="264"/>
      <c r="J181" s="152"/>
    </row>
    <row r="182" spans="1:10" ht="15">
      <c r="A182" s="247"/>
      <c r="B182" s="255"/>
      <c r="C182" s="234" t="s">
        <v>221</v>
      </c>
      <c r="D182" s="276"/>
      <c r="E182" s="152">
        <f>9712.5+12500+23000+18000+47000+9000</f>
        <v>119212.5</v>
      </c>
      <c r="F182" s="270"/>
      <c r="G182" s="264">
        <v>135000</v>
      </c>
      <c r="H182" s="152"/>
      <c r="I182" s="264"/>
      <c r="J182" s="152"/>
    </row>
    <row r="183" spans="1:10" ht="15">
      <c r="A183" s="247"/>
      <c r="B183" s="255"/>
      <c r="C183" s="234" t="s">
        <v>1311</v>
      </c>
      <c r="E183" s="152">
        <v>96500</v>
      </c>
      <c r="F183" s="270"/>
      <c r="G183" s="264"/>
      <c r="H183" s="152"/>
      <c r="I183" s="264"/>
      <c r="J183" s="152"/>
    </row>
    <row r="184" spans="1:10" ht="15">
      <c r="A184" s="247"/>
      <c r="B184" s="255"/>
      <c r="C184" s="250" t="s">
        <v>222</v>
      </c>
      <c r="D184" s="276"/>
      <c r="E184" s="240">
        <f>707986.75-650000</f>
        <v>57986.75</v>
      </c>
      <c r="F184" s="270"/>
      <c r="G184" s="264">
        <f ca="1">SUM(G163:H242)</f>
        <v>4278276.5</v>
      </c>
      <c r="H184" s="152"/>
      <c r="I184" s="264"/>
      <c r="J184" s="152"/>
    </row>
    <row r="185" spans="1:10" ht="15">
      <c r="A185" s="247"/>
      <c r="B185" s="255"/>
      <c r="C185" s="234" t="s">
        <v>224</v>
      </c>
      <c r="D185" s="276"/>
      <c r="E185" s="246">
        <f>5700-5300-200+15000-13426.2-1573.8</f>
        <v>199.99999999999932</v>
      </c>
      <c r="F185" s="270"/>
      <c r="G185" s="264"/>
      <c r="H185" s="152"/>
      <c r="I185" s="264"/>
      <c r="J185" s="152"/>
    </row>
    <row r="186" spans="1:10" ht="15">
      <c r="A186" s="247"/>
      <c r="B186" s="255"/>
      <c r="C186" s="234" t="s">
        <v>1658</v>
      </c>
      <c r="D186" s="276"/>
      <c r="E186" s="152">
        <f>18035-920-436.36+18400-11563.64-17664-5000-736+300000+213000+71952-300000+148514.5+37375-71952+300000-300000-1326.29-1495+470000-100000-811.93+320000-369188.07-148514.58+55000+20000+20000-240358.49-8521.51+30000-30000-16872.49-3127.51-20000-17142.85-354910.72+52053.57</f>
        <v>53788.629999999823</v>
      </c>
      <c r="F186" s="270"/>
      <c r="G186" s="264"/>
      <c r="H186" s="152"/>
      <c r="I186" s="264"/>
      <c r="J186" s="152"/>
    </row>
    <row r="187" spans="1:10" ht="15">
      <c r="A187" s="247"/>
      <c r="B187" s="255"/>
      <c r="C187" s="234" t="s">
        <v>225</v>
      </c>
      <c r="D187" s="276"/>
      <c r="E187" s="152">
        <f>56600-1000</f>
        <v>55600</v>
      </c>
      <c r="F187" s="270"/>
      <c r="G187" s="264"/>
      <c r="H187" s="152"/>
      <c r="I187" s="264"/>
      <c r="J187" s="152"/>
    </row>
    <row r="188" spans="1:10" ht="15">
      <c r="A188" s="247"/>
      <c r="B188" s="255"/>
      <c r="C188" s="234" t="s">
        <v>226</v>
      </c>
      <c r="E188" s="152">
        <f>2408.22+37500-29260.24+16875+167325-16875-156867.18-10457.82</f>
        <v>10647.980000000018</v>
      </c>
      <c r="F188" s="270"/>
      <c r="G188" s="264"/>
      <c r="H188" s="152"/>
      <c r="I188" s="264"/>
      <c r="J188" s="152"/>
    </row>
    <row r="189" spans="1:10" ht="15" hidden="1">
      <c r="A189" s="247"/>
      <c r="B189" s="255"/>
      <c r="C189" s="234" t="s">
        <v>1414</v>
      </c>
      <c r="E189" s="152">
        <f>50400-430.86-16969.14-881.43-32118.57</f>
        <v>0</v>
      </c>
      <c r="F189" s="270"/>
      <c r="G189" s="264">
        <f>E128</f>
        <v>485000</v>
      </c>
      <c r="H189" s="152"/>
      <c r="I189" s="264"/>
      <c r="J189" s="152"/>
    </row>
    <row r="190" spans="1:10" ht="15" hidden="1">
      <c r="A190" s="247"/>
      <c r="B190" s="255"/>
      <c r="C190" s="234" t="s">
        <v>1425</v>
      </c>
      <c r="E190" s="152">
        <f>43554-41574.27-1979.73</f>
        <v>3.1832314562052488E-12</v>
      </c>
      <c r="F190" s="270"/>
      <c r="G190" s="264"/>
      <c r="H190" s="152"/>
      <c r="I190" s="264"/>
      <c r="J190" s="152"/>
    </row>
    <row r="191" spans="1:10" ht="15" hidden="1">
      <c r="A191" s="247"/>
      <c r="B191" s="255"/>
      <c r="C191" s="234" t="s">
        <v>2193</v>
      </c>
      <c r="D191" s="276" t="s">
        <v>1011</v>
      </c>
      <c r="E191" s="152">
        <f>60000-3071.11-56928.89</f>
        <v>0</v>
      </c>
      <c r="F191" s="270"/>
      <c r="G191" s="264"/>
      <c r="H191" s="152"/>
      <c r="I191" s="264"/>
      <c r="J191" s="152"/>
    </row>
    <row r="192" spans="1:10" ht="15" hidden="1">
      <c r="A192" s="247"/>
      <c r="B192" s="255"/>
      <c r="C192" s="234" t="s">
        <v>2193</v>
      </c>
      <c r="D192" s="276"/>
      <c r="E192" s="152">
        <f>315499.8-315499.8</f>
        <v>0</v>
      </c>
      <c r="F192" s="270"/>
      <c r="G192" s="264"/>
      <c r="H192" s="152"/>
      <c r="I192" s="264"/>
      <c r="J192" s="152"/>
    </row>
    <row r="193" spans="1:10" ht="15" hidden="1">
      <c r="A193" s="247"/>
      <c r="B193" s="255"/>
      <c r="C193" s="234" t="s">
        <v>2193</v>
      </c>
      <c r="D193" s="276"/>
      <c r="E193" s="152">
        <f>34937-34937</f>
        <v>0</v>
      </c>
      <c r="F193" s="270"/>
      <c r="G193" s="264"/>
      <c r="H193" s="152"/>
      <c r="I193" s="264"/>
      <c r="J193" s="152"/>
    </row>
    <row r="194" spans="1:10" ht="15" hidden="1">
      <c r="A194" s="247"/>
      <c r="B194" s="255"/>
      <c r="C194" s="234" t="s">
        <v>2193</v>
      </c>
      <c r="D194" s="276"/>
      <c r="E194" s="152">
        <f>34711.6-34711.6</f>
        <v>0</v>
      </c>
      <c r="F194" s="270"/>
      <c r="G194" s="264"/>
      <c r="H194" s="152"/>
      <c r="I194" s="264"/>
      <c r="J194" s="152"/>
    </row>
    <row r="195" spans="1:10" ht="12" hidden="1" customHeight="1">
      <c r="A195" s="247"/>
      <c r="B195" s="255"/>
      <c r="C195" s="234" t="s">
        <v>2193</v>
      </c>
      <c r="E195" s="152">
        <f>20000-159.72-19840.28</f>
        <v>0</v>
      </c>
      <c r="H195" s="152"/>
      <c r="I195" s="264"/>
      <c r="J195" s="152"/>
    </row>
    <row r="196" spans="1:10" ht="12" hidden="1" customHeight="1">
      <c r="A196" s="247"/>
      <c r="B196" s="255"/>
      <c r="C196" s="234" t="s">
        <v>2193</v>
      </c>
      <c r="E196" s="152">
        <f>29400-1575-27825</f>
        <v>0</v>
      </c>
      <c r="H196" s="152"/>
      <c r="I196" s="264"/>
      <c r="J196" s="152"/>
    </row>
    <row r="197" spans="1:10" ht="15" hidden="1">
      <c r="A197" s="247"/>
      <c r="B197" s="255"/>
      <c r="C197" s="234" t="s">
        <v>2193</v>
      </c>
      <c r="D197" s="276" t="s">
        <v>1012</v>
      </c>
      <c r="E197" s="152">
        <f>409708.6-409708.6</f>
        <v>0</v>
      </c>
      <c r="F197" s="270"/>
      <c r="G197" s="264">
        <f>SUM(E142:E216)</f>
        <v>11199993.84</v>
      </c>
      <c r="H197" s="152"/>
      <c r="I197" s="264"/>
      <c r="J197" s="152"/>
    </row>
    <row r="198" spans="1:10" ht="15" hidden="1">
      <c r="A198" s="247"/>
      <c r="B198" s="255"/>
      <c r="C198" s="234" t="s">
        <v>2193</v>
      </c>
      <c r="D198" s="276"/>
      <c r="E198" s="152">
        <f>29752.8-29752.8</f>
        <v>0</v>
      </c>
      <c r="F198" s="270"/>
      <c r="G198" s="264"/>
      <c r="H198" s="152"/>
      <c r="I198" s="264"/>
      <c r="J198" s="152"/>
    </row>
    <row r="199" spans="1:10" ht="15" hidden="1">
      <c r="A199" s="247"/>
      <c r="B199" s="255"/>
      <c r="C199" s="234" t="s">
        <v>2193</v>
      </c>
      <c r="D199" s="276" t="s">
        <v>1472</v>
      </c>
      <c r="E199" s="152">
        <f>25921-25921</f>
        <v>0</v>
      </c>
      <c r="F199" s="270"/>
      <c r="G199" s="264"/>
      <c r="H199" s="152"/>
      <c r="I199" s="264"/>
      <c r="J199" s="152"/>
    </row>
    <row r="200" spans="1:10" ht="15" hidden="1">
      <c r="A200" s="247"/>
      <c r="B200" s="255"/>
      <c r="C200" s="234" t="s">
        <v>2193</v>
      </c>
      <c r="D200" s="276" t="s">
        <v>2234</v>
      </c>
      <c r="E200" s="152">
        <f>70000-70000</f>
        <v>0</v>
      </c>
      <c r="F200" s="270"/>
      <c r="G200" s="264" t="s">
        <v>2433</v>
      </c>
      <c r="H200" s="152"/>
      <c r="I200" s="264"/>
      <c r="J200" s="152"/>
    </row>
    <row r="201" spans="1:10" ht="15" hidden="1">
      <c r="A201" s="247"/>
      <c r="B201" s="255"/>
      <c r="C201" s="234" t="s">
        <v>2193</v>
      </c>
      <c r="D201" s="276" t="s">
        <v>1009</v>
      </c>
      <c r="E201" s="152">
        <f>27273.4-27273.4</f>
        <v>0</v>
      </c>
      <c r="F201" s="270"/>
      <c r="G201" s="264"/>
      <c r="H201" s="152"/>
      <c r="I201" s="264"/>
      <c r="J201" s="152"/>
    </row>
    <row r="202" spans="1:10" ht="15" hidden="1">
      <c r="A202" s="247"/>
      <c r="B202" s="255"/>
      <c r="C202" s="234" t="s">
        <v>2193</v>
      </c>
      <c r="E202" s="152">
        <f>29400-27825-1575</f>
        <v>0</v>
      </c>
      <c r="F202" s="270"/>
      <c r="G202" s="264"/>
      <c r="H202" s="152"/>
      <c r="I202" s="264"/>
      <c r="J202" s="152"/>
    </row>
    <row r="203" spans="1:10" ht="15" hidden="1">
      <c r="A203" s="247"/>
      <c r="B203" s="255"/>
      <c r="C203" s="234" t="s">
        <v>2193</v>
      </c>
      <c r="D203" s="276" t="s">
        <v>51</v>
      </c>
      <c r="E203" s="152">
        <f>26822.6-26822.6</f>
        <v>0</v>
      </c>
      <c r="F203" s="270"/>
      <c r="G203" s="264"/>
      <c r="H203" s="152"/>
      <c r="I203" s="264"/>
      <c r="J203" s="152"/>
    </row>
    <row r="204" spans="1:10" ht="15" hidden="1">
      <c r="A204" s="247"/>
      <c r="B204" s="255"/>
      <c r="C204" s="234" t="s">
        <v>2193</v>
      </c>
      <c r="D204" s="276" t="s">
        <v>52</v>
      </c>
      <c r="E204" s="277">
        <f>50000-47163.27-2836.73</f>
        <v>0</v>
      </c>
      <c r="F204" s="270"/>
      <c r="G204" s="264"/>
      <c r="H204" s="152"/>
      <c r="I204" s="264"/>
      <c r="J204" s="152"/>
    </row>
    <row r="205" spans="1:10" ht="15" hidden="1">
      <c r="A205" s="247"/>
      <c r="B205" s="255"/>
      <c r="C205" s="234" t="s">
        <v>2193</v>
      </c>
      <c r="D205" s="276" t="s">
        <v>53</v>
      </c>
      <c r="E205" s="152">
        <f>27825-27825</f>
        <v>0</v>
      </c>
      <c r="F205" s="270"/>
      <c r="G205" s="264"/>
      <c r="H205" s="152"/>
      <c r="I205" s="264"/>
      <c r="J205" s="152"/>
    </row>
    <row r="206" spans="1:10" ht="15" hidden="1">
      <c r="A206" s="247"/>
      <c r="B206" s="255"/>
      <c r="C206" s="234" t="s">
        <v>2193</v>
      </c>
      <c r="D206" s="276" t="s">
        <v>2287</v>
      </c>
      <c r="E206" s="152">
        <f>26822.6-26822.6</f>
        <v>0</v>
      </c>
      <c r="F206" s="270"/>
      <c r="G206" s="264"/>
      <c r="H206" s="152"/>
      <c r="I206" s="264"/>
      <c r="J206" s="152"/>
    </row>
    <row r="207" spans="1:10" ht="15" hidden="1">
      <c r="A207" s="247"/>
      <c r="B207" s="255"/>
      <c r="C207" s="234" t="s">
        <v>2193</v>
      </c>
      <c r="D207" s="276" t="s">
        <v>2288</v>
      </c>
      <c r="E207" s="277">
        <f>29400-28061-1339</f>
        <v>0</v>
      </c>
      <c r="F207" s="270"/>
      <c r="G207" s="264"/>
      <c r="H207" s="152"/>
      <c r="I207" s="264"/>
      <c r="J207" s="152"/>
    </row>
    <row r="208" spans="1:10" ht="15" hidden="1">
      <c r="A208" s="247"/>
      <c r="B208" s="255"/>
      <c r="C208" s="234" t="s">
        <v>2193</v>
      </c>
      <c r="D208" s="276" t="s">
        <v>2289</v>
      </c>
      <c r="E208" s="152">
        <f>50000-47397.76-2602.24</f>
        <v>0</v>
      </c>
      <c r="F208" s="278">
        <f>25.61+2576.63</f>
        <v>2602.2400000000002</v>
      </c>
      <c r="G208" s="279" t="s">
        <v>2432</v>
      </c>
      <c r="H208" s="152"/>
      <c r="I208" s="264"/>
      <c r="J208" s="152"/>
    </row>
    <row r="209" spans="1:10" ht="15" hidden="1">
      <c r="A209" s="247"/>
      <c r="B209" s="255"/>
      <c r="C209" s="234" t="s">
        <v>2193</v>
      </c>
      <c r="D209" s="276" t="s">
        <v>2085</v>
      </c>
      <c r="E209" s="152">
        <f>27498.8-27498.8</f>
        <v>0</v>
      </c>
      <c r="F209" s="270"/>
      <c r="G209" s="264"/>
      <c r="H209" s="152"/>
      <c r="I209" s="264"/>
      <c r="J209" s="152"/>
    </row>
    <row r="210" spans="1:10" ht="15" hidden="1">
      <c r="A210" s="247"/>
      <c r="B210" s="255"/>
      <c r="C210" s="234" t="s">
        <v>2193</v>
      </c>
      <c r="D210" s="276" t="s">
        <v>2087</v>
      </c>
      <c r="E210" s="277">
        <f>29400-27825-1575</f>
        <v>0</v>
      </c>
      <c r="F210" s="270"/>
      <c r="G210" s="264"/>
      <c r="H210" s="152"/>
      <c r="I210" s="264"/>
      <c r="J210" s="152"/>
    </row>
    <row r="211" spans="1:10" ht="15" hidden="1">
      <c r="A211" s="247"/>
      <c r="B211" s="255"/>
      <c r="C211" s="234" t="s">
        <v>2193</v>
      </c>
      <c r="D211" s="276" t="s">
        <v>1473</v>
      </c>
      <c r="E211" s="277">
        <f>29400-27825-1575</f>
        <v>0</v>
      </c>
      <c r="F211" s="270"/>
      <c r="G211" s="264"/>
      <c r="H211" s="152"/>
      <c r="I211" s="264"/>
      <c r="J211" s="152"/>
    </row>
    <row r="212" spans="1:10" ht="15" hidden="1">
      <c r="A212" s="247"/>
      <c r="B212" s="255"/>
      <c r="C212" s="234" t="s">
        <v>2193</v>
      </c>
      <c r="D212" s="276" t="s">
        <v>1474</v>
      </c>
      <c r="E212" s="277">
        <f>65000-61537.43-3462.57</f>
        <v>0</v>
      </c>
      <c r="F212" s="270"/>
      <c r="G212" s="264"/>
      <c r="H212" s="152"/>
      <c r="I212" s="264"/>
      <c r="J212" s="152"/>
    </row>
    <row r="213" spans="1:10" ht="15" hidden="1">
      <c r="A213" s="247"/>
      <c r="B213" s="255"/>
      <c r="C213" s="234" t="s">
        <v>2193</v>
      </c>
      <c r="D213" s="276" t="s">
        <v>1487</v>
      </c>
      <c r="E213" s="277">
        <f>60000-56772.35-3227.65</f>
        <v>0</v>
      </c>
      <c r="F213" s="270" t="s">
        <v>2434</v>
      </c>
      <c r="G213" s="264"/>
      <c r="H213" s="152"/>
      <c r="I213" s="264"/>
      <c r="J213" s="152"/>
    </row>
    <row r="214" spans="1:10" ht="15" hidden="1">
      <c r="A214" s="247"/>
      <c r="B214" s="255"/>
      <c r="C214" s="234" t="s">
        <v>2193</v>
      </c>
      <c r="D214" s="276" t="s">
        <v>1007</v>
      </c>
      <c r="E214" s="277">
        <f>78000-73998.53-4001.47</f>
        <v>0</v>
      </c>
      <c r="F214" s="270"/>
      <c r="G214" s="264"/>
      <c r="H214" s="152"/>
      <c r="I214" s="264"/>
      <c r="J214" s="152"/>
    </row>
    <row r="215" spans="1:10" ht="15" hidden="1">
      <c r="A215" s="247"/>
      <c r="B215" s="255"/>
      <c r="C215" s="234" t="s">
        <v>2193</v>
      </c>
      <c r="D215" s="276" t="s">
        <v>1008</v>
      </c>
      <c r="E215" s="277">
        <f>29400-27825-1575</f>
        <v>0</v>
      </c>
      <c r="F215" s="270"/>
      <c r="G215" s="264"/>
      <c r="H215" s="152"/>
      <c r="I215" s="264"/>
      <c r="J215" s="152"/>
    </row>
    <row r="216" spans="1:10" ht="15" hidden="1">
      <c r="A216" s="247"/>
      <c r="B216" s="255"/>
      <c r="C216" s="234" t="s">
        <v>2193</v>
      </c>
      <c r="D216" s="276" t="s">
        <v>1010</v>
      </c>
      <c r="E216" s="277">
        <f>5000-4754.05-245.95</f>
        <v>0</v>
      </c>
      <c r="F216" s="270"/>
      <c r="G216" s="264"/>
      <c r="H216" s="152"/>
      <c r="I216" s="264"/>
      <c r="J216" s="152"/>
    </row>
    <row r="217" spans="1:10" ht="15" hidden="1">
      <c r="A217" s="247"/>
      <c r="B217" s="255"/>
      <c r="C217" s="234" t="s">
        <v>2193</v>
      </c>
      <c r="D217" s="276"/>
      <c r="E217" s="277">
        <f>30654.4-30654.4</f>
        <v>0</v>
      </c>
      <c r="F217" s="270"/>
      <c r="G217" s="264"/>
      <c r="H217" s="152"/>
      <c r="I217" s="264"/>
      <c r="J217" s="152"/>
    </row>
    <row r="218" spans="1:10" ht="15" hidden="1">
      <c r="A218" s="247"/>
      <c r="B218" s="255"/>
      <c r="C218" s="234" t="s">
        <v>2196</v>
      </c>
      <c r="D218" s="276" t="s">
        <v>1489</v>
      </c>
      <c r="E218" s="152">
        <f>1171062.05-1171062.05</f>
        <v>0</v>
      </c>
      <c r="F218" s="270"/>
      <c r="G218" s="264"/>
      <c r="H218" s="152"/>
      <c r="I218" s="264"/>
      <c r="J218" s="152"/>
    </row>
    <row r="219" spans="1:10" ht="15" hidden="1">
      <c r="A219" s="247"/>
      <c r="B219" s="255"/>
      <c r="C219" s="234" t="s">
        <v>2196</v>
      </c>
      <c r="D219" s="276"/>
      <c r="E219" s="152">
        <f>866374.82-866374.82</f>
        <v>0</v>
      </c>
      <c r="F219" s="270"/>
      <c r="G219" s="264"/>
      <c r="H219" s="152"/>
      <c r="I219" s="264"/>
      <c r="J219" s="152"/>
    </row>
    <row r="220" spans="1:10" ht="15" hidden="1">
      <c r="A220" s="247"/>
      <c r="B220" s="255"/>
      <c r="C220" s="234" t="s">
        <v>2196</v>
      </c>
      <c r="E220" s="152">
        <f>302109.98+622387.84-622387.84-302109.98</f>
        <v>0</v>
      </c>
      <c r="F220" s="270"/>
      <c r="G220" s="264"/>
      <c r="H220" s="152"/>
      <c r="I220" s="264"/>
      <c r="J220" s="152"/>
    </row>
    <row r="221" spans="1:10" ht="15" hidden="1">
      <c r="A221" s="247"/>
      <c r="B221" s="255"/>
      <c r="C221" s="234" t="s">
        <v>2196</v>
      </c>
      <c r="D221" s="276" t="s">
        <v>2290</v>
      </c>
      <c r="E221" s="152">
        <f>823711.14-3000-820711.14</f>
        <v>0</v>
      </c>
      <c r="F221" s="270"/>
      <c r="G221" s="264"/>
      <c r="H221" s="152"/>
      <c r="I221" s="264"/>
      <c r="J221" s="152"/>
    </row>
    <row r="222" spans="1:10" s="282" customFormat="1" ht="15" hidden="1">
      <c r="A222" s="280"/>
      <c r="B222" s="281"/>
      <c r="C222" s="282" t="s">
        <v>2215</v>
      </c>
      <c r="D222" s="283" t="s">
        <v>1491</v>
      </c>
      <c r="E222" s="277">
        <f>586500-10000-5000-571500</f>
        <v>0</v>
      </c>
      <c r="F222" s="284"/>
      <c r="G222" s="285">
        <v>23500</v>
      </c>
      <c r="H222" s="277"/>
      <c r="I222" s="285"/>
      <c r="J222" s="277"/>
    </row>
    <row r="223" spans="1:10" ht="15" hidden="1">
      <c r="A223" s="247"/>
      <c r="B223" s="255"/>
      <c r="C223" s="234" t="s">
        <v>2215</v>
      </c>
      <c r="D223" s="276" t="s">
        <v>10</v>
      </c>
      <c r="E223" s="152">
        <f>45000-45000</f>
        <v>0</v>
      </c>
      <c r="F223" s="270"/>
      <c r="G223" s="264"/>
      <c r="H223" s="152"/>
      <c r="I223" s="264"/>
      <c r="J223" s="152"/>
    </row>
    <row r="224" spans="1:10" ht="15" hidden="1">
      <c r="A224" s="247"/>
      <c r="B224" s="255"/>
      <c r="C224" s="234" t="s">
        <v>2215</v>
      </c>
      <c r="D224" s="276" t="s">
        <v>11</v>
      </c>
      <c r="E224" s="152">
        <f>45000-45000</f>
        <v>0</v>
      </c>
      <c r="F224" s="270"/>
      <c r="G224" s="264"/>
      <c r="H224" s="152"/>
      <c r="I224" s="264"/>
      <c r="J224" s="152"/>
    </row>
    <row r="225" spans="1:10" ht="15" hidden="1">
      <c r="A225" s="247"/>
      <c r="B225" s="255"/>
      <c r="C225" s="234" t="s">
        <v>370</v>
      </c>
      <c r="D225" s="276"/>
      <c r="E225" s="152">
        <f>50000-50000</f>
        <v>0</v>
      </c>
      <c r="F225" s="270"/>
      <c r="G225" s="264"/>
      <c r="H225" s="152"/>
      <c r="I225" s="264"/>
      <c r="J225" s="152"/>
    </row>
    <row r="226" spans="1:10" ht="15" hidden="1">
      <c r="A226" s="247"/>
      <c r="B226" s="255"/>
      <c r="C226" s="234" t="s">
        <v>370</v>
      </c>
      <c r="D226" s="276"/>
      <c r="E226" s="152">
        <f>50000-50000</f>
        <v>0</v>
      </c>
      <c r="F226" s="270"/>
      <c r="G226" s="264"/>
      <c r="H226" s="152"/>
      <c r="I226" s="264"/>
      <c r="J226" s="152"/>
    </row>
    <row r="227" spans="1:10" ht="15" hidden="1">
      <c r="A227" s="247"/>
      <c r="B227" s="255"/>
      <c r="C227" s="234" t="s">
        <v>370</v>
      </c>
      <c r="D227" s="276"/>
      <c r="E227" s="152">
        <f>100000-100000</f>
        <v>0</v>
      </c>
      <c r="F227" s="270"/>
      <c r="G227" s="264"/>
      <c r="H227" s="152"/>
      <c r="I227" s="264"/>
      <c r="J227" s="152"/>
    </row>
    <row r="228" spans="1:10" ht="15" hidden="1">
      <c r="A228" s="247"/>
      <c r="B228" s="255"/>
      <c r="C228" s="234" t="s">
        <v>370</v>
      </c>
      <c r="D228" s="276"/>
      <c r="E228" s="152">
        <f>150000-150000</f>
        <v>0</v>
      </c>
      <c r="F228" s="270"/>
      <c r="G228" s="264"/>
      <c r="H228" s="152"/>
      <c r="I228" s="264"/>
      <c r="J228" s="152"/>
    </row>
    <row r="229" spans="1:10" ht="15" hidden="1">
      <c r="A229" s="247"/>
      <c r="B229" s="255"/>
      <c r="C229" s="234" t="s">
        <v>370</v>
      </c>
      <c r="D229" s="276"/>
      <c r="E229" s="152">
        <f>150000-150000</f>
        <v>0</v>
      </c>
      <c r="F229" s="270"/>
      <c r="G229" s="264"/>
      <c r="H229" s="152"/>
      <c r="I229" s="264"/>
      <c r="J229" s="152"/>
    </row>
    <row r="230" spans="1:10" ht="15" hidden="1">
      <c r="A230" s="247"/>
      <c r="B230" s="255"/>
      <c r="C230" s="234" t="s">
        <v>688</v>
      </c>
      <c r="E230" s="152">
        <f>70000-100.79-611.85-69287.36</f>
        <v>0</v>
      </c>
      <c r="F230" s="270"/>
      <c r="G230" s="264">
        <v>181753</v>
      </c>
      <c r="H230" s="152"/>
      <c r="I230" s="264"/>
      <c r="J230" s="152"/>
    </row>
    <row r="231" spans="1:10" ht="15" hidden="1">
      <c r="A231" s="247"/>
      <c r="B231" s="255"/>
      <c r="C231" s="250" t="s">
        <v>695</v>
      </c>
      <c r="D231" s="267"/>
      <c r="E231" s="240">
        <f>27500-27500</f>
        <v>0</v>
      </c>
      <c r="F231" s="270"/>
      <c r="G231" s="264"/>
      <c r="H231" s="152"/>
      <c r="I231" s="264"/>
      <c r="J231" s="152"/>
    </row>
    <row r="232" spans="1:10" ht="15" hidden="1">
      <c r="A232" s="247"/>
      <c r="B232" s="255"/>
      <c r="C232" s="234" t="s">
        <v>702</v>
      </c>
      <c r="E232" s="152">
        <f>47200+41500-9896.46-103.54-16500-241.9-118.4-61839.7</f>
        <v>0</v>
      </c>
      <c r="F232" s="270"/>
      <c r="G232" s="264">
        <v>15000</v>
      </c>
      <c r="H232" s="152"/>
      <c r="I232" s="264"/>
      <c r="J232" s="152"/>
    </row>
    <row r="233" spans="1:10" ht="15" hidden="1">
      <c r="A233" s="247"/>
      <c r="B233" s="255"/>
      <c r="C233" s="250" t="s">
        <v>700</v>
      </c>
      <c r="D233" s="250"/>
      <c r="E233" s="240">
        <f>20544-1189.72-281.1-18792.08-281.1</f>
        <v>-1.4779288903810084E-12</v>
      </c>
      <c r="G233" s="249">
        <f>+E233-90000</f>
        <v>-90000</v>
      </c>
      <c r="H233" s="270">
        <v>90000</v>
      </c>
      <c r="I233" s="264" t="s">
        <v>697</v>
      </c>
      <c r="J233" s="286">
        <v>38791</v>
      </c>
    </row>
    <row r="234" spans="1:10" ht="15" hidden="1">
      <c r="A234" s="247"/>
      <c r="B234" s="255"/>
      <c r="C234" s="250" t="s">
        <v>701</v>
      </c>
      <c r="D234" s="250"/>
      <c r="E234" s="240">
        <f>37050+29000+3200-2000-3940-60+123870.5+159022-3200+9000-8784-2910-1800-90+10190-72.6-10190-7951.1-1380-117676.89-35670-151070.9-2988.38-20000-2988.38+1439.75</f>
        <v>3.7289282772690058E-11</v>
      </c>
      <c r="F234" s="270"/>
      <c r="G234" s="264"/>
      <c r="H234" s="152"/>
      <c r="I234" s="264"/>
      <c r="J234" s="152"/>
    </row>
    <row r="235" spans="1:10" ht="15" hidden="1">
      <c r="A235" s="247"/>
      <c r="B235" s="255"/>
      <c r="C235" s="234" t="s">
        <v>284</v>
      </c>
      <c r="E235" s="152">
        <f>114237.66-114237.66</f>
        <v>0</v>
      </c>
      <c r="F235" s="270"/>
      <c r="G235" s="264"/>
      <c r="H235" s="152"/>
      <c r="I235" s="264"/>
      <c r="J235" s="152"/>
    </row>
    <row r="236" spans="1:10" ht="15" hidden="1">
      <c r="A236" s="247"/>
      <c r="B236" s="255"/>
      <c r="C236" s="234" t="s">
        <v>704</v>
      </c>
      <c r="E236" s="152">
        <f>90000-90000</f>
        <v>0</v>
      </c>
      <c r="F236" s="270"/>
      <c r="G236" s="264"/>
      <c r="H236" s="152"/>
      <c r="I236" s="264"/>
      <c r="J236" s="152"/>
    </row>
    <row r="237" spans="1:10" ht="15" hidden="1">
      <c r="A237" s="247"/>
      <c r="B237" s="255"/>
      <c r="C237" s="234" t="s">
        <v>704</v>
      </c>
      <c r="E237" s="152">
        <f>50000-50000</f>
        <v>0</v>
      </c>
      <c r="F237" s="270"/>
      <c r="G237" s="264"/>
      <c r="H237" s="152"/>
      <c r="I237" s="264"/>
      <c r="J237" s="152"/>
    </row>
    <row r="238" spans="1:10" ht="15" hidden="1">
      <c r="A238" s="247"/>
      <c r="B238" s="255"/>
      <c r="C238" s="234" t="s">
        <v>1895</v>
      </c>
      <c r="E238" s="152">
        <f>155000-155000</f>
        <v>0</v>
      </c>
      <c r="F238" s="270"/>
      <c r="G238" s="264">
        <v>39840</v>
      </c>
      <c r="H238" s="152"/>
      <c r="I238" s="264"/>
      <c r="J238" s="152"/>
    </row>
    <row r="239" spans="1:10" ht="15" hidden="1">
      <c r="A239" s="247"/>
      <c r="B239" s="255"/>
      <c r="C239" s="234" t="s">
        <v>2429</v>
      </c>
      <c r="D239" s="276" t="s">
        <v>1014</v>
      </c>
      <c r="E239" s="152">
        <f>411000-1125.94-409874.06</f>
        <v>0</v>
      </c>
      <c r="F239" s="270"/>
      <c r="G239" s="264"/>
      <c r="H239" s="152"/>
      <c r="I239" s="264"/>
      <c r="J239" s="152"/>
    </row>
    <row r="240" spans="1:10" ht="15" hidden="1">
      <c r="A240" s="247"/>
      <c r="B240" s="255"/>
      <c r="C240" s="234" t="s">
        <v>2429</v>
      </c>
      <c r="D240" s="276"/>
      <c r="E240" s="152">
        <f>34500-1337.89-33162.11</f>
        <v>0</v>
      </c>
      <c r="F240" s="270"/>
      <c r="G240" s="264"/>
      <c r="H240" s="152"/>
      <c r="I240" s="264"/>
      <c r="J240" s="152"/>
    </row>
    <row r="241" spans="1:10" ht="15" hidden="1">
      <c r="A241" s="247"/>
      <c r="B241" s="255"/>
      <c r="C241" s="234" t="s">
        <v>223</v>
      </c>
      <c r="D241" s="276"/>
      <c r="E241" s="152">
        <f>-16030+90830+90000-90000-74800+80800+57000-137800+145550-119000-26550+28400-26980-1420</f>
        <v>0</v>
      </c>
      <c r="F241" s="270"/>
      <c r="G241" s="264">
        <v>50000</v>
      </c>
      <c r="H241" s="152"/>
      <c r="I241" s="264"/>
      <c r="J241" s="152"/>
    </row>
    <row r="242" spans="1:10" ht="15" hidden="1">
      <c r="A242" s="247"/>
      <c r="B242" s="255"/>
      <c r="C242" s="274" t="s">
        <v>1311</v>
      </c>
      <c r="D242" s="276"/>
      <c r="E242" s="152">
        <f>130200-130200+153450-153450</f>
        <v>0</v>
      </c>
      <c r="F242" s="270"/>
      <c r="G242" s="264"/>
      <c r="H242" s="152"/>
      <c r="I242" s="264"/>
      <c r="J242" s="152"/>
    </row>
    <row r="243" spans="1:10" ht="15" hidden="1">
      <c r="A243" s="247"/>
      <c r="B243" s="255"/>
      <c r="C243" s="274" t="s">
        <v>1311</v>
      </c>
      <c r="D243" s="276"/>
      <c r="E243" s="152">
        <f>154700+105400-154700-105400</f>
        <v>0</v>
      </c>
      <c r="F243" s="270"/>
      <c r="G243" s="264"/>
      <c r="H243" s="152"/>
      <c r="I243" s="264"/>
      <c r="J243" s="152"/>
    </row>
    <row r="244" spans="1:10" ht="15" hidden="1">
      <c r="A244" s="247"/>
      <c r="B244" s="255"/>
      <c r="C244" s="274" t="s">
        <v>1311</v>
      </c>
      <c r="D244" s="276"/>
      <c r="E244" s="152">
        <f>39000-39000</f>
        <v>0</v>
      </c>
      <c r="F244" s="270"/>
      <c r="G244" s="264"/>
      <c r="H244" s="152"/>
      <c r="I244" s="264"/>
      <c r="J244" s="152"/>
    </row>
    <row r="245" spans="1:10" ht="15" hidden="1">
      <c r="A245" s="247"/>
      <c r="B245" s="255"/>
      <c r="C245" s="234" t="s">
        <v>2196</v>
      </c>
      <c r="D245" s="276"/>
      <c r="E245" s="152">
        <f>1486288.08-1486288.08</f>
        <v>0</v>
      </c>
      <c r="F245" s="270"/>
      <c r="G245" s="264"/>
      <c r="H245" s="152"/>
      <c r="I245" s="264"/>
      <c r="J245" s="152"/>
    </row>
    <row r="246" spans="1:10" ht="15" hidden="1">
      <c r="A246" s="247"/>
      <c r="B246" s="255"/>
      <c r="C246" s="234" t="s">
        <v>2430</v>
      </c>
      <c r="D246" s="276" t="s">
        <v>1488</v>
      </c>
      <c r="E246" s="152">
        <f>57596-57596</f>
        <v>0</v>
      </c>
      <c r="F246" s="270"/>
      <c r="G246" s="264"/>
      <c r="H246" s="152"/>
      <c r="I246" s="264"/>
      <c r="J246" s="152"/>
    </row>
    <row r="247" spans="1:10" ht="15" hidden="1">
      <c r="A247" s="247"/>
      <c r="B247" s="255"/>
      <c r="C247" s="234" t="s">
        <v>2196</v>
      </c>
      <c r="D247" s="276" t="s">
        <v>1013</v>
      </c>
      <c r="E247" s="152">
        <f>783332.84-783332.84</f>
        <v>0</v>
      </c>
      <c r="F247" s="270"/>
      <c r="G247" s="264"/>
      <c r="H247" s="152"/>
      <c r="I247" s="264"/>
      <c r="J247" s="152"/>
    </row>
    <row r="248" spans="1:10" ht="15" hidden="1">
      <c r="A248" s="247"/>
      <c r="B248" s="255"/>
      <c r="C248" s="234" t="s">
        <v>2430</v>
      </c>
      <c r="D248" s="276"/>
      <c r="E248" s="152">
        <f>14200+8250-21689.28-760.72</f>
        <v>1.1368683772161603E-12</v>
      </c>
      <c r="F248" s="270" t="s">
        <v>279</v>
      </c>
      <c r="G248" s="264"/>
      <c r="H248" s="152"/>
      <c r="I248" s="264"/>
      <c r="J248" s="152"/>
    </row>
    <row r="249" spans="1:10" ht="15" hidden="1">
      <c r="A249" s="247"/>
      <c r="B249" s="255"/>
      <c r="C249" s="234" t="s">
        <v>2193</v>
      </c>
      <c r="E249" s="152">
        <f>32006.8-32006.8</f>
        <v>0</v>
      </c>
      <c r="F249" s="270"/>
      <c r="G249" s="264"/>
      <c r="H249" s="152"/>
      <c r="I249" s="264"/>
      <c r="J249" s="152"/>
    </row>
    <row r="250" spans="1:10" ht="14.25" hidden="1" customHeight="1">
      <c r="A250" s="247"/>
      <c r="B250" s="255"/>
      <c r="C250" s="234" t="s">
        <v>2193</v>
      </c>
      <c r="D250" s="276"/>
      <c r="E250" s="152">
        <f>65000-65000</f>
        <v>0</v>
      </c>
      <c r="F250" s="270"/>
      <c r="G250" s="264"/>
      <c r="H250" s="152"/>
      <c r="I250" s="264"/>
      <c r="J250" s="152"/>
    </row>
    <row r="251" spans="1:10" ht="15" hidden="1">
      <c r="A251" s="247"/>
      <c r="B251" s="255"/>
      <c r="C251" s="234" t="s">
        <v>2193</v>
      </c>
      <c r="D251" s="276"/>
      <c r="E251" s="152">
        <f>28400.4-28400.4</f>
        <v>0</v>
      </c>
      <c r="F251" s="270"/>
      <c r="G251" s="264"/>
      <c r="H251" s="152"/>
      <c r="I251" s="264"/>
      <c r="J251" s="152"/>
    </row>
    <row r="252" spans="1:10" ht="15" hidden="1">
      <c r="A252" s="247"/>
      <c r="B252" s="255"/>
      <c r="C252" s="234" t="s">
        <v>2193</v>
      </c>
      <c r="D252" s="276"/>
      <c r="E252" s="152">
        <f>305737.7-305737.7</f>
        <v>0</v>
      </c>
      <c r="F252" s="270"/>
      <c r="G252" s="264"/>
      <c r="H252" s="152"/>
      <c r="I252" s="264"/>
      <c r="J252" s="152"/>
    </row>
    <row r="253" spans="1:10" ht="15" hidden="1">
      <c r="A253" s="247"/>
      <c r="B253" s="255"/>
      <c r="C253" s="234" t="s">
        <v>284</v>
      </c>
      <c r="E253" s="152">
        <f>129722.7-129722.7</f>
        <v>0</v>
      </c>
      <c r="F253" s="270"/>
      <c r="G253" s="264"/>
      <c r="H253" s="152"/>
      <c r="I253" s="264"/>
      <c r="J253" s="152"/>
    </row>
    <row r="254" spans="1:10" ht="15">
      <c r="A254" s="247"/>
      <c r="B254" s="255"/>
      <c r="C254" s="247" t="s">
        <v>227</v>
      </c>
      <c r="E254" s="241">
        <f>SUM(E109:E247)</f>
        <v>29348391.189999994</v>
      </c>
      <c r="F254" s="270"/>
      <c r="G254" s="264">
        <f>E254-F254</f>
        <v>29348391.189999994</v>
      </c>
      <c r="H254" s="152"/>
      <c r="I254" s="264"/>
      <c r="J254" s="152"/>
    </row>
    <row r="255" spans="1:10" ht="15">
      <c r="A255" s="247"/>
      <c r="B255" s="255"/>
      <c r="C255" s="247"/>
      <c r="D255" s="243"/>
      <c r="E255" s="240"/>
      <c r="F255" s="270"/>
      <c r="G255" s="264">
        <f>E254-G254</f>
        <v>0</v>
      </c>
      <c r="H255" s="152"/>
      <c r="I255" s="264"/>
      <c r="J255" s="152"/>
    </row>
    <row r="256" spans="1:10" ht="15.75" thickBot="1">
      <c r="A256" s="247" t="s">
        <v>228</v>
      </c>
      <c r="B256" s="255"/>
      <c r="C256" s="287"/>
      <c r="D256" s="243"/>
      <c r="E256" s="240"/>
      <c r="F256" s="270"/>
      <c r="G256" s="264">
        <v>-3400884.43</v>
      </c>
      <c r="H256" s="152"/>
      <c r="I256" s="264"/>
      <c r="J256" s="152"/>
    </row>
    <row r="257" spans="1:10" ht="12" customHeight="1">
      <c r="A257" s="247"/>
      <c r="B257" s="255"/>
      <c r="C257" s="247"/>
      <c r="D257" s="243"/>
      <c r="E257" s="240"/>
      <c r="F257" s="270"/>
      <c r="G257" s="264">
        <f>SUM(G255:G256)</f>
        <v>-3400884.43</v>
      </c>
      <c r="H257" s="152"/>
      <c r="I257" s="264"/>
      <c r="J257" s="152"/>
    </row>
    <row r="258" spans="1:10" ht="15">
      <c r="A258" s="267"/>
      <c r="B258" s="250"/>
      <c r="C258" s="234" t="s">
        <v>1738</v>
      </c>
      <c r="E258" s="152">
        <v>17198</v>
      </c>
      <c r="F258" s="270"/>
      <c r="G258" s="264"/>
      <c r="H258" s="152"/>
      <c r="I258" s="264"/>
      <c r="J258" s="152"/>
    </row>
    <row r="259" spans="1:10" ht="15">
      <c r="A259" s="267"/>
      <c r="B259" s="250"/>
      <c r="C259" s="234" t="s">
        <v>229</v>
      </c>
      <c r="E259" s="152">
        <f>110500+199280.4+109321</f>
        <v>419101.4</v>
      </c>
      <c r="F259" s="270"/>
      <c r="G259" s="264"/>
      <c r="H259" s="152"/>
      <c r="I259" s="264"/>
      <c r="J259" s="152"/>
    </row>
    <row r="260" spans="1:10" ht="15">
      <c r="A260" s="267"/>
      <c r="B260" s="250"/>
      <c r="C260" s="234" t="s">
        <v>230</v>
      </c>
      <c r="D260" s="276" t="s">
        <v>2292</v>
      </c>
      <c r="E260" s="152">
        <v>11370</v>
      </c>
      <c r="F260" s="270"/>
      <c r="G260" s="264">
        <f>G255-G258</f>
        <v>0</v>
      </c>
      <c r="H260" s="152"/>
      <c r="I260" s="264"/>
      <c r="J260" s="152"/>
    </row>
    <row r="261" spans="1:10" ht="15">
      <c r="A261" s="267"/>
      <c r="B261" s="250"/>
      <c r="C261" s="234" t="s">
        <v>2552</v>
      </c>
      <c r="D261" s="276" t="s">
        <v>2090</v>
      </c>
      <c r="E261" s="152">
        <v>4380</v>
      </c>
      <c r="F261" s="270"/>
      <c r="G261" s="264"/>
      <c r="H261" s="152"/>
      <c r="I261" s="264"/>
      <c r="J261" s="152"/>
    </row>
    <row r="262" spans="1:10" ht="15">
      <c r="A262" s="267"/>
      <c r="B262" s="250"/>
      <c r="C262" s="234" t="s">
        <v>231</v>
      </c>
      <c r="E262" s="152">
        <f>20010</f>
        <v>20010</v>
      </c>
      <c r="F262" s="270"/>
      <c r="G262" s="264"/>
      <c r="H262" s="152"/>
      <c r="I262" s="264"/>
      <c r="J262" s="152"/>
    </row>
    <row r="263" spans="1:10" ht="15">
      <c r="A263" s="267"/>
      <c r="B263" s="250"/>
      <c r="C263" s="234" t="s">
        <v>1080</v>
      </c>
      <c r="E263" s="152">
        <v>9506</v>
      </c>
      <c r="F263" s="270"/>
      <c r="G263" s="264"/>
      <c r="H263" s="152"/>
      <c r="I263" s="264"/>
      <c r="J263" s="152"/>
    </row>
    <row r="264" spans="1:10" ht="15">
      <c r="A264" s="267"/>
      <c r="B264" s="250"/>
      <c r="C264" s="234" t="s">
        <v>232</v>
      </c>
      <c r="E264" s="152">
        <f>5900+7100+1900</f>
        <v>14900</v>
      </c>
      <c r="F264" s="270"/>
      <c r="G264" s="264"/>
      <c r="H264" s="152"/>
      <c r="I264" s="264"/>
      <c r="J264" s="152"/>
    </row>
    <row r="265" spans="1:10" ht="15">
      <c r="B265" s="274"/>
      <c r="C265" s="255" t="s">
        <v>234</v>
      </c>
      <c r="D265" s="276"/>
      <c r="E265" s="152">
        <f>8340</f>
        <v>8340</v>
      </c>
      <c r="F265" s="270"/>
      <c r="G265" s="264"/>
      <c r="H265" s="152"/>
      <c r="I265" s="264"/>
      <c r="J265" s="152"/>
    </row>
    <row r="266" spans="1:10" ht="15">
      <c r="B266" s="274"/>
      <c r="C266" s="234" t="s">
        <v>235</v>
      </c>
      <c r="D266" s="276"/>
      <c r="E266" s="152">
        <v>18678</v>
      </c>
      <c r="F266" s="270"/>
      <c r="G266" s="264"/>
      <c r="H266" s="152"/>
      <c r="I266" s="264"/>
      <c r="J266" s="152"/>
    </row>
    <row r="267" spans="1:10" ht="15">
      <c r="B267" s="274"/>
      <c r="C267" s="234" t="s">
        <v>236</v>
      </c>
      <c r="D267" s="276"/>
      <c r="E267" s="152">
        <v>2198</v>
      </c>
      <c r="F267" s="270"/>
      <c r="G267" s="264"/>
      <c r="H267" s="152"/>
      <c r="I267" s="264"/>
      <c r="J267" s="152"/>
    </row>
    <row r="268" spans="1:10" ht="15">
      <c r="B268" s="274"/>
      <c r="C268" s="255" t="s">
        <v>237</v>
      </c>
      <c r="D268" s="276"/>
      <c r="E268" s="152">
        <f>9168</f>
        <v>9168</v>
      </c>
      <c r="F268" s="270"/>
      <c r="G268" s="264"/>
      <c r="H268" s="152"/>
      <c r="I268" s="264"/>
      <c r="J268" s="152"/>
    </row>
    <row r="269" spans="1:10" ht="15">
      <c r="B269" s="274"/>
      <c r="C269" s="234" t="s">
        <v>238</v>
      </c>
      <c r="E269" s="152">
        <f>1384+1000</f>
        <v>2384</v>
      </c>
      <c r="F269" s="270"/>
      <c r="G269" s="264"/>
      <c r="H269" s="152"/>
      <c r="I269" s="264"/>
      <c r="J269" s="152"/>
    </row>
    <row r="270" spans="1:10" ht="15">
      <c r="B270" s="274"/>
      <c r="C270" s="234" t="s">
        <v>239</v>
      </c>
      <c r="D270" s="276"/>
      <c r="E270" s="152">
        <f>3500+1170</f>
        <v>4670</v>
      </c>
      <c r="F270" s="270"/>
      <c r="G270" s="264"/>
      <c r="H270" s="152"/>
      <c r="I270" s="264"/>
      <c r="J270" s="152"/>
    </row>
    <row r="271" spans="1:10" ht="15">
      <c r="B271" s="274"/>
      <c r="C271" s="234" t="s">
        <v>240</v>
      </c>
      <c r="D271" s="276"/>
      <c r="E271" s="152">
        <v>13062.56</v>
      </c>
      <c r="F271" s="270"/>
      <c r="G271" s="264"/>
      <c r="H271" s="152"/>
      <c r="I271" s="264"/>
      <c r="J271" s="152"/>
    </row>
    <row r="272" spans="1:10" ht="15">
      <c r="B272" s="274"/>
      <c r="C272" s="234" t="s">
        <v>829</v>
      </c>
      <c r="D272" s="276"/>
      <c r="E272" s="152">
        <f>5720+5060-5720+9520</f>
        <v>14580</v>
      </c>
      <c r="F272" s="270"/>
      <c r="G272" s="264"/>
      <c r="H272" s="152"/>
      <c r="I272" s="264"/>
      <c r="J272" s="152"/>
    </row>
    <row r="273" spans="1:10" ht="15">
      <c r="A273" s="267"/>
      <c r="B273" s="250"/>
      <c r="C273" s="234" t="s">
        <v>31</v>
      </c>
      <c r="D273" s="276" t="s">
        <v>32</v>
      </c>
      <c r="E273" s="152">
        <v>6800</v>
      </c>
      <c r="F273" s="270"/>
      <c r="G273" s="264"/>
      <c r="H273" s="152"/>
      <c r="I273" s="264"/>
      <c r="J273" s="152"/>
    </row>
    <row r="274" spans="1:10" ht="15">
      <c r="B274" s="274"/>
      <c r="C274" s="234" t="s">
        <v>1980</v>
      </c>
      <c r="D274" s="276"/>
      <c r="E274" s="152">
        <f>-178.57</f>
        <v>-178.57</v>
      </c>
      <c r="F274" s="270"/>
      <c r="G274" s="264"/>
      <c r="H274" s="152"/>
      <c r="I274" s="264"/>
      <c r="J274" s="152"/>
    </row>
    <row r="275" spans="1:10" ht="15">
      <c r="B275" s="274"/>
      <c r="C275" s="234" t="s">
        <v>1415</v>
      </c>
      <c r="D275" s="276"/>
      <c r="E275" s="152">
        <f>4410+1910+2660+8540+6520</f>
        <v>24040</v>
      </c>
      <c r="F275" s="270"/>
      <c r="G275" s="264"/>
      <c r="H275" s="152"/>
      <c r="I275" s="264"/>
      <c r="J275" s="152"/>
    </row>
    <row r="276" spans="1:10" ht="15">
      <c r="B276" s="274"/>
      <c r="C276" s="234" t="s">
        <v>241</v>
      </c>
      <c r="D276" s="276"/>
      <c r="E276" s="152">
        <v>1020</v>
      </c>
      <c r="F276" s="270"/>
      <c r="G276" s="264"/>
      <c r="H276" s="152"/>
      <c r="I276" s="264"/>
      <c r="J276" s="152"/>
    </row>
    <row r="277" spans="1:10" ht="15">
      <c r="B277" s="274"/>
      <c r="C277" s="234" t="s">
        <v>242</v>
      </c>
      <c r="D277" s="276"/>
      <c r="E277" s="152">
        <f>15135+14495-5123-2160-10-825+3351+17905-1531-703-23548+1328+3014-12-6984-491-1289+2354+15860-3014-2353-9383-2354+9736+4104+10192+3364+1982-341-4104-10192-3023-9736-4124-71-1911+2720+7400-7400+1952-1952-2720+9000+5120-5120+3832-3832-9000+2936</f>
        <v>12474</v>
      </c>
      <c r="F277" s="270"/>
      <c r="G277" s="264"/>
      <c r="H277" s="152"/>
      <c r="I277" s="264"/>
      <c r="J277" s="152"/>
    </row>
    <row r="278" spans="1:10" ht="15">
      <c r="B278" s="274"/>
      <c r="C278" s="234" t="s">
        <v>244</v>
      </c>
      <c r="D278" s="276"/>
      <c r="E278" s="152">
        <f>1250</f>
        <v>1250</v>
      </c>
      <c r="F278" s="270"/>
      <c r="G278" s="264"/>
      <c r="H278" s="152"/>
      <c r="I278" s="264"/>
      <c r="J278" s="152"/>
    </row>
    <row r="279" spans="1:10" ht="15">
      <c r="A279" s="267"/>
      <c r="B279" s="250"/>
      <c r="C279" s="234" t="s">
        <v>1732</v>
      </c>
      <c r="E279" s="152">
        <f>16616-196.43</f>
        <v>16419.57</v>
      </c>
      <c r="F279" s="270"/>
      <c r="G279" s="264"/>
      <c r="H279" s="152"/>
      <c r="I279" s="264"/>
      <c r="J279" s="152"/>
    </row>
    <row r="280" spans="1:10" ht="15">
      <c r="B280" s="274"/>
      <c r="C280" s="234" t="s">
        <v>245</v>
      </c>
      <c r="D280" s="276"/>
      <c r="E280" s="152">
        <f>8162+2990+11258+11926+14556+6720+21218-1092-6720-7070+16848+8320+10313.92</f>
        <v>97429.92</v>
      </c>
      <c r="F280" s="270"/>
      <c r="G280" s="264"/>
      <c r="H280" s="152"/>
      <c r="I280" s="264"/>
      <c r="J280" s="152"/>
    </row>
    <row r="281" spans="1:10" ht="15">
      <c r="B281" s="274"/>
      <c r="C281" s="234" t="s">
        <v>246</v>
      </c>
      <c r="D281" s="276"/>
      <c r="E281" s="152">
        <f>29240-14620+21020-21020+18898+16300-16300-18898+49120</f>
        <v>63740</v>
      </c>
      <c r="F281" s="270"/>
      <c r="G281" s="264"/>
      <c r="H281" s="152"/>
      <c r="I281" s="264"/>
      <c r="J281" s="152"/>
    </row>
    <row r="282" spans="1:10" ht="15">
      <c r="B282" s="274"/>
      <c r="C282" s="234" t="s">
        <v>33</v>
      </c>
      <c r="D282" s="276" t="s">
        <v>34</v>
      </c>
      <c r="E282" s="152">
        <v>6800</v>
      </c>
      <c r="F282" s="270"/>
      <c r="G282" s="264"/>
      <c r="H282" s="152"/>
      <c r="I282" s="264"/>
      <c r="J282" s="152"/>
    </row>
    <row r="283" spans="1:10" ht="15">
      <c r="B283" s="274"/>
      <c r="C283" s="234" t="s">
        <v>247</v>
      </c>
      <c r="D283" s="276"/>
      <c r="E283" s="152">
        <f>10500+17641</f>
        <v>28141</v>
      </c>
      <c r="F283" s="270"/>
      <c r="G283" s="264"/>
      <c r="H283" s="152"/>
      <c r="I283" s="264"/>
      <c r="J283" s="152"/>
    </row>
    <row r="284" spans="1:10" ht="15">
      <c r="A284" s="267"/>
      <c r="B284" s="250"/>
      <c r="C284" s="234" t="s">
        <v>1737</v>
      </c>
      <c r="D284" s="276"/>
      <c r="E284" s="152">
        <v>17198</v>
      </c>
      <c r="F284" s="270"/>
      <c r="G284" s="264"/>
      <c r="H284" s="152"/>
      <c r="I284" s="264"/>
      <c r="J284" s="152"/>
    </row>
    <row r="285" spans="1:10" ht="15">
      <c r="B285" s="274"/>
      <c r="C285" s="234" t="s">
        <v>248</v>
      </c>
      <c r="D285" s="276"/>
      <c r="E285" s="152">
        <v>1200</v>
      </c>
      <c r="F285" s="270"/>
      <c r="G285" s="264"/>
      <c r="H285" s="152"/>
      <c r="I285" s="264"/>
      <c r="J285" s="152"/>
    </row>
    <row r="286" spans="1:10" ht="15">
      <c r="A286" s="267"/>
      <c r="B286" s="250"/>
      <c r="C286" s="234" t="s">
        <v>1736</v>
      </c>
      <c r="D286" s="276"/>
      <c r="E286" s="152">
        <v>17198</v>
      </c>
      <c r="F286" s="270"/>
      <c r="G286" s="264"/>
      <c r="H286" s="152"/>
      <c r="I286" s="264"/>
      <c r="J286" s="152"/>
    </row>
    <row r="287" spans="1:10" ht="15">
      <c r="B287" s="274"/>
      <c r="C287" s="234" t="s">
        <v>250</v>
      </c>
      <c r="D287" s="276"/>
      <c r="E287" s="152">
        <f>4260-50-4210+1720+960+2616+8035-960-1720-2616-114-85-8035-4953</f>
        <v>-5152</v>
      </c>
      <c r="F287" s="270"/>
      <c r="G287" s="264"/>
      <c r="H287" s="152"/>
      <c r="I287" s="264"/>
      <c r="J287" s="152"/>
    </row>
    <row r="288" spans="1:10" ht="15">
      <c r="B288" s="274"/>
      <c r="C288" s="234" t="s">
        <v>251</v>
      </c>
      <c r="D288" s="276"/>
      <c r="E288" s="152">
        <v>1600</v>
      </c>
      <c r="F288" s="270"/>
      <c r="G288" s="264"/>
      <c r="H288" s="152"/>
      <c r="I288" s="264"/>
      <c r="J288" s="152"/>
    </row>
    <row r="289" spans="1:10" ht="15">
      <c r="B289" s="274"/>
      <c r="C289" s="234" t="s">
        <v>255</v>
      </c>
      <c r="D289" s="276" t="s">
        <v>2293</v>
      </c>
      <c r="E289" s="152">
        <v>11370</v>
      </c>
      <c r="F289" s="270"/>
      <c r="G289" s="264"/>
      <c r="H289" s="152"/>
      <c r="I289" s="264"/>
      <c r="J289" s="152"/>
    </row>
    <row r="290" spans="1:10" ht="15">
      <c r="B290" s="274"/>
      <c r="C290" s="234" t="s">
        <v>1427</v>
      </c>
      <c r="D290" s="276"/>
      <c r="E290" s="152">
        <f>96880.4-96728.59+25000+25000</f>
        <v>50151.81</v>
      </c>
      <c r="F290" s="270"/>
      <c r="G290" s="264"/>
      <c r="H290" s="152"/>
      <c r="I290" s="264"/>
      <c r="J290" s="152"/>
    </row>
    <row r="291" spans="1:10" ht="15">
      <c r="B291" s="274"/>
      <c r="C291" s="234" t="s">
        <v>256</v>
      </c>
      <c r="D291" s="276"/>
      <c r="E291" s="152">
        <f>8720+20110+9432-8720-9432+9520</f>
        <v>29630</v>
      </c>
      <c r="F291" s="270"/>
      <c r="G291" s="264"/>
      <c r="H291" s="152"/>
      <c r="I291" s="264"/>
      <c r="J291" s="152"/>
    </row>
    <row r="292" spans="1:10" ht="15">
      <c r="B292" s="274"/>
      <c r="C292" s="234" t="s">
        <v>257</v>
      </c>
      <c r="D292" s="276"/>
      <c r="E292" s="152">
        <f>27717-6380.19</f>
        <v>21336.81</v>
      </c>
      <c r="F292" s="270"/>
      <c r="G292" s="264"/>
      <c r="H292" s="152"/>
      <c r="I292" s="264"/>
      <c r="J292" s="152"/>
    </row>
    <row r="293" spans="1:10" ht="15">
      <c r="B293" s="274"/>
      <c r="C293" s="234" t="s">
        <v>258</v>
      </c>
      <c r="D293" s="276"/>
      <c r="E293" s="152">
        <v>3185</v>
      </c>
      <c r="F293" s="270"/>
      <c r="G293" s="264"/>
      <c r="H293" s="152"/>
      <c r="I293" s="264"/>
      <c r="J293" s="152"/>
    </row>
    <row r="294" spans="1:10" ht="15">
      <c r="B294" s="274"/>
      <c r="C294" s="234" t="s">
        <v>259</v>
      </c>
      <c r="D294" s="276"/>
      <c r="E294" s="152">
        <f>7070-1748</f>
        <v>5322</v>
      </c>
      <c r="F294" s="270"/>
      <c r="G294" s="264"/>
      <c r="H294" s="152"/>
      <c r="I294" s="264"/>
      <c r="J294" s="152"/>
    </row>
    <row r="295" spans="1:10" ht="15">
      <c r="B295" s="274"/>
      <c r="C295" s="234" t="s">
        <v>260</v>
      </c>
      <c r="D295" s="276"/>
      <c r="E295" s="152">
        <v>16760</v>
      </c>
      <c r="F295" s="270"/>
      <c r="G295" s="264"/>
      <c r="H295" s="152"/>
      <c r="I295" s="264"/>
      <c r="J295" s="152"/>
    </row>
    <row r="296" spans="1:10" ht="15">
      <c r="A296" s="247"/>
      <c r="B296" s="255"/>
      <c r="C296" s="234" t="s">
        <v>261</v>
      </c>
      <c r="D296" s="276"/>
      <c r="E296" s="152">
        <f>7100</f>
        <v>7100</v>
      </c>
      <c r="F296" s="270"/>
      <c r="G296" s="264"/>
      <c r="H296" s="152"/>
      <c r="I296" s="264"/>
      <c r="J296" s="152"/>
    </row>
    <row r="297" spans="1:10" ht="15">
      <c r="A297" s="247"/>
      <c r="B297" s="255"/>
      <c r="C297" s="234" t="s">
        <v>2516</v>
      </c>
      <c r="D297" s="276"/>
      <c r="E297" s="152">
        <f>3360-3360</f>
        <v>0</v>
      </c>
      <c r="F297" s="270"/>
      <c r="G297" s="264"/>
      <c r="H297" s="152"/>
      <c r="I297" s="264"/>
      <c r="J297" s="152"/>
    </row>
    <row r="298" spans="1:10" ht="15">
      <c r="B298" s="274"/>
      <c r="C298" s="234" t="s">
        <v>262</v>
      </c>
      <c r="D298" s="276"/>
      <c r="E298" s="152">
        <v>0.2</v>
      </c>
      <c r="F298" s="270"/>
      <c r="G298" s="264"/>
      <c r="H298" s="152"/>
      <c r="I298" s="264"/>
      <c r="J298" s="152"/>
    </row>
    <row r="299" spans="1:10" ht="15">
      <c r="B299" s="274"/>
      <c r="C299" s="234" t="s">
        <v>263</v>
      </c>
      <c r="D299" s="276"/>
      <c r="E299" s="152">
        <f>21702-4645-7801-6804+12580-10305+11580-9321+11216-623+12040-10593</f>
        <v>19026</v>
      </c>
      <c r="F299" s="270"/>
      <c r="G299" s="264"/>
      <c r="H299" s="152"/>
      <c r="I299" s="264"/>
      <c r="J299" s="152"/>
    </row>
    <row r="300" spans="1:10" ht="15">
      <c r="B300" s="274"/>
      <c r="C300" s="234" t="s">
        <v>264</v>
      </c>
      <c r="D300" s="276"/>
      <c r="E300" s="152">
        <v>2198</v>
      </c>
      <c r="F300" s="270"/>
      <c r="G300" s="264"/>
      <c r="H300" s="152"/>
      <c r="I300" s="264"/>
      <c r="J300" s="152"/>
    </row>
    <row r="301" spans="1:10" ht="15">
      <c r="B301" s="274"/>
      <c r="C301" s="234" t="s">
        <v>266</v>
      </c>
      <c r="D301" s="276"/>
      <c r="E301" s="152">
        <v>800</v>
      </c>
      <c r="F301" s="270"/>
      <c r="G301" s="264"/>
      <c r="H301" s="152"/>
      <c r="I301" s="264"/>
      <c r="J301" s="152"/>
    </row>
    <row r="302" spans="1:10" ht="15">
      <c r="B302" s="274"/>
      <c r="C302" s="234" t="s">
        <v>830</v>
      </c>
      <c r="D302" s="276"/>
      <c r="E302" s="152">
        <v>9520</v>
      </c>
      <c r="F302" s="270"/>
      <c r="G302" s="264"/>
      <c r="H302" s="152"/>
      <c r="I302" s="264"/>
      <c r="J302" s="152"/>
    </row>
    <row r="303" spans="1:10">
      <c r="B303" s="274"/>
      <c r="C303" s="234" t="s">
        <v>2195</v>
      </c>
      <c r="D303" s="276"/>
      <c r="E303" s="152">
        <v>18678</v>
      </c>
      <c r="F303" s="152"/>
      <c r="G303" s="264"/>
      <c r="H303" s="152"/>
      <c r="I303" s="264"/>
      <c r="J303" s="152"/>
    </row>
    <row r="304" spans="1:10" ht="15">
      <c r="B304" s="274"/>
      <c r="C304" s="234" t="s">
        <v>295</v>
      </c>
      <c r="D304" s="276"/>
      <c r="E304" s="152">
        <f>1600+1600+1800-3400</f>
        <v>1600</v>
      </c>
      <c r="F304" s="270"/>
      <c r="G304" s="264"/>
      <c r="H304" s="152"/>
      <c r="I304" s="264"/>
      <c r="J304" s="152"/>
    </row>
    <row r="305" spans="1:10" ht="15">
      <c r="B305" s="274"/>
      <c r="C305" s="234" t="s">
        <v>296</v>
      </c>
      <c r="D305" s="276"/>
      <c r="E305" s="152">
        <f>1360</f>
        <v>1360</v>
      </c>
      <c r="F305" s="270"/>
      <c r="G305" s="264"/>
      <c r="H305" s="152"/>
      <c r="I305" s="264"/>
      <c r="J305" s="152"/>
    </row>
    <row r="306" spans="1:10" ht="15">
      <c r="B306" s="274"/>
      <c r="C306" s="255" t="s">
        <v>297</v>
      </c>
      <c r="D306" s="276"/>
      <c r="E306" s="152">
        <f>9168</f>
        <v>9168</v>
      </c>
      <c r="F306" s="270"/>
      <c r="G306" s="264"/>
      <c r="H306" s="152"/>
      <c r="I306" s="264"/>
      <c r="J306" s="152"/>
    </row>
    <row r="307" spans="1:10" ht="15">
      <c r="B307" s="274"/>
      <c r="C307" s="234" t="s">
        <v>2197</v>
      </c>
      <c r="D307" s="276"/>
      <c r="E307" s="152">
        <v>9520</v>
      </c>
      <c r="F307" s="270"/>
      <c r="G307" s="264"/>
      <c r="H307" s="152"/>
      <c r="I307" s="264"/>
      <c r="J307" s="152"/>
    </row>
    <row r="308" spans="1:10" ht="15">
      <c r="B308" s="274"/>
      <c r="C308" s="234" t="s">
        <v>300</v>
      </c>
      <c r="D308" s="276"/>
      <c r="E308" s="152">
        <f>14+71+45000</f>
        <v>45085</v>
      </c>
      <c r="F308" s="270"/>
      <c r="G308" s="264"/>
      <c r="H308" s="152"/>
      <c r="I308" s="264"/>
      <c r="J308" s="152"/>
    </row>
    <row r="309" spans="1:10" ht="15">
      <c r="B309" s="274"/>
      <c r="C309" s="234" t="s">
        <v>301</v>
      </c>
      <c r="D309" s="276"/>
      <c r="E309" s="152">
        <v>7976</v>
      </c>
      <c r="F309" s="270"/>
      <c r="G309" s="264"/>
      <c r="H309" s="152"/>
      <c r="I309" s="264"/>
      <c r="J309" s="152"/>
    </row>
    <row r="310" spans="1:10" ht="15">
      <c r="B310" s="274"/>
      <c r="C310" s="234" t="s">
        <v>302</v>
      </c>
      <c r="D310" s="276"/>
      <c r="E310" s="152">
        <f>19877</f>
        <v>19877</v>
      </c>
      <c r="F310" s="270"/>
      <c r="G310" s="264"/>
      <c r="H310" s="152"/>
      <c r="I310" s="264"/>
      <c r="J310" s="152"/>
    </row>
    <row r="311" spans="1:10" ht="15">
      <c r="B311" s="274"/>
      <c r="C311" s="234" t="s">
        <v>2199</v>
      </c>
      <c r="D311" s="276"/>
      <c r="E311" s="152">
        <f>6600+15940-1621-14319</f>
        <v>6600</v>
      </c>
      <c r="F311" s="270"/>
      <c r="G311" s="264"/>
      <c r="H311" s="152"/>
      <c r="I311" s="264"/>
      <c r="J311" s="152"/>
    </row>
    <row r="312" spans="1:10" ht="15">
      <c r="B312" s="274"/>
      <c r="C312" s="234" t="s">
        <v>304</v>
      </c>
      <c r="D312" s="276"/>
      <c r="E312" s="152">
        <v>3351</v>
      </c>
      <c r="F312" s="270"/>
      <c r="G312" s="264"/>
      <c r="H312" s="152"/>
      <c r="I312" s="264"/>
      <c r="J312" s="152"/>
    </row>
    <row r="313" spans="1:10" ht="15">
      <c r="B313" s="274"/>
      <c r="C313" s="234" t="s">
        <v>305</v>
      </c>
      <c r="D313" s="276"/>
      <c r="E313" s="152">
        <f>3500</f>
        <v>3500</v>
      </c>
      <c r="F313" s="270"/>
      <c r="G313" s="264"/>
      <c r="H313" s="152"/>
      <c r="I313" s="264"/>
      <c r="J313" s="152"/>
    </row>
    <row r="314" spans="1:10" ht="15">
      <c r="B314" s="274"/>
      <c r="C314" s="234" t="s">
        <v>306</v>
      </c>
      <c r="D314" s="276"/>
      <c r="E314" s="152">
        <v>7976</v>
      </c>
      <c r="F314" s="270"/>
      <c r="G314" s="264"/>
      <c r="H314" s="152"/>
      <c r="I314" s="264"/>
      <c r="J314" s="152"/>
    </row>
    <row r="315" spans="1:10" ht="15">
      <c r="B315" s="274"/>
      <c r="C315" s="234" t="s">
        <v>307</v>
      </c>
      <c r="D315" s="276"/>
      <c r="E315" s="152">
        <f>13250+9520</f>
        <v>22770</v>
      </c>
      <c r="F315" s="270"/>
      <c r="G315" s="264"/>
      <c r="H315" s="152"/>
      <c r="I315" s="264"/>
      <c r="J315" s="152"/>
    </row>
    <row r="316" spans="1:10" ht="15">
      <c r="B316" s="274"/>
      <c r="C316" s="234" t="s">
        <v>309</v>
      </c>
      <c r="D316" s="276"/>
      <c r="E316" s="152">
        <f>14283-14083</f>
        <v>200</v>
      </c>
      <c r="F316" s="270"/>
      <c r="G316" s="264"/>
      <c r="H316" s="152"/>
      <c r="I316" s="264"/>
      <c r="J316" s="152"/>
    </row>
    <row r="317" spans="1:10" ht="15">
      <c r="B317" s="274"/>
      <c r="C317" s="234" t="s">
        <v>310</v>
      </c>
      <c r="D317" s="276"/>
      <c r="E317" s="152">
        <v>16946</v>
      </c>
      <c r="F317" s="270"/>
      <c r="G317" s="264"/>
      <c r="H317" s="152"/>
      <c r="I317" s="264"/>
      <c r="J317" s="152"/>
    </row>
    <row r="318" spans="1:10" ht="15">
      <c r="A318" s="267"/>
      <c r="B318" s="250"/>
      <c r="C318" s="234" t="s">
        <v>1733</v>
      </c>
      <c r="D318" s="276"/>
      <c r="E318" s="152">
        <v>17198</v>
      </c>
      <c r="F318" s="270"/>
      <c r="G318" s="264"/>
      <c r="H318" s="152"/>
      <c r="I318" s="264"/>
      <c r="J318" s="152"/>
    </row>
    <row r="319" spans="1:10" ht="15">
      <c r="B319" s="274"/>
      <c r="C319" s="234" t="s">
        <v>311</v>
      </c>
      <c r="D319" s="276"/>
      <c r="E319" s="152">
        <f>6223+14495+3500-6095+6609-14495+4028+3014-2700-4-4338+2354+4124+5864+3736-6609-4124+4104+9736-3736+10192+2600+1982+2730-10192-2600-3500-9736-4104-5864-2354+2720-2720-2730+9000</f>
        <v>11110</v>
      </c>
      <c r="F319" s="270"/>
      <c r="G319" s="264"/>
      <c r="H319" s="152"/>
      <c r="I319" s="264"/>
      <c r="J319" s="152"/>
    </row>
    <row r="320" spans="1:10" ht="15">
      <c r="B320" s="274"/>
      <c r="C320" s="234" t="s">
        <v>312</v>
      </c>
      <c r="D320" s="276"/>
      <c r="E320" s="152">
        <f>5720+5060+20110-5720+9520</f>
        <v>34690</v>
      </c>
      <c r="F320" s="270"/>
      <c r="G320" s="264"/>
      <c r="H320" s="152"/>
      <c r="I320" s="264"/>
      <c r="J320" s="152"/>
    </row>
    <row r="321" spans="1:10" ht="15">
      <c r="B321" s="274"/>
      <c r="C321" s="234" t="s">
        <v>20</v>
      </c>
      <c r="D321" s="276" t="s">
        <v>21</v>
      </c>
      <c r="E321" s="152">
        <v>6800</v>
      </c>
      <c r="F321" s="270"/>
      <c r="G321" s="264"/>
      <c r="H321" s="152"/>
      <c r="I321" s="264"/>
      <c r="J321" s="152"/>
    </row>
    <row r="322" spans="1:10" ht="15">
      <c r="A322" s="267"/>
      <c r="B322" s="250"/>
      <c r="C322" s="234" t="s">
        <v>1741</v>
      </c>
      <c r="D322" s="276"/>
      <c r="E322" s="152">
        <v>3520</v>
      </c>
      <c r="F322" s="270"/>
      <c r="G322" s="264"/>
      <c r="H322" s="152"/>
      <c r="I322" s="264"/>
      <c r="J322" s="152"/>
    </row>
    <row r="323" spans="1:10" ht="15">
      <c r="B323" s="274"/>
      <c r="C323" s="255" t="s">
        <v>313</v>
      </c>
      <c r="D323" s="276"/>
      <c r="E323" s="152">
        <f>4925+19800</f>
        <v>24725</v>
      </c>
      <c r="F323" s="270"/>
      <c r="G323" s="264"/>
      <c r="H323" s="152"/>
      <c r="I323" s="264"/>
      <c r="J323" s="152"/>
    </row>
    <row r="324" spans="1:10" ht="15">
      <c r="B324" s="274"/>
      <c r="C324" s="234" t="s">
        <v>314</v>
      </c>
      <c r="D324" s="276"/>
      <c r="E324" s="152">
        <v>7074</v>
      </c>
      <c r="F324" s="270"/>
      <c r="G324" s="264"/>
      <c r="H324" s="152"/>
      <c r="I324" s="264"/>
      <c r="J324" s="152"/>
    </row>
    <row r="325" spans="1:10" ht="15">
      <c r="B325" s="274"/>
      <c r="C325" s="234" t="s">
        <v>315</v>
      </c>
      <c r="D325" s="276"/>
      <c r="E325" s="152">
        <f>5900+7100</f>
        <v>13000</v>
      </c>
      <c r="F325" s="270"/>
      <c r="G325" s="264"/>
      <c r="H325" s="152"/>
      <c r="I325" s="264"/>
      <c r="J325" s="152"/>
    </row>
    <row r="326" spans="1:10" ht="15">
      <c r="B326" s="274"/>
      <c r="C326" s="234" t="s">
        <v>316</v>
      </c>
      <c r="D326" s="276"/>
      <c r="E326" s="152">
        <f>2000+1400+3500-3400+1900+790-790-1900</f>
        <v>3500</v>
      </c>
      <c r="F326" s="270"/>
      <c r="G326" s="264"/>
      <c r="H326" s="152"/>
      <c r="I326" s="264"/>
      <c r="J326" s="152"/>
    </row>
    <row r="327" spans="1:10" ht="15">
      <c r="B327" s="274"/>
      <c r="C327" s="234" t="s">
        <v>318</v>
      </c>
      <c r="D327" s="276"/>
      <c r="E327" s="152">
        <f>63700</f>
        <v>63700</v>
      </c>
      <c r="F327" s="270"/>
      <c r="G327" s="264"/>
      <c r="H327" s="152"/>
      <c r="I327" s="264"/>
      <c r="J327" s="152"/>
    </row>
    <row r="328" spans="1:10" ht="15">
      <c r="A328" s="267"/>
      <c r="B328" s="250"/>
      <c r="C328" s="234" t="s">
        <v>1729</v>
      </c>
      <c r="D328" s="276"/>
      <c r="E328" s="152">
        <v>16616</v>
      </c>
      <c r="F328" s="270"/>
      <c r="G328" s="264"/>
      <c r="H328" s="152"/>
      <c r="I328" s="264"/>
      <c r="J328" s="152"/>
    </row>
    <row r="329" spans="1:10" ht="15">
      <c r="B329" s="274"/>
      <c r="C329" s="234" t="s">
        <v>319</v>
      </c>
      <c r="D329" s="276"/>
      <c r="E329" s="152">
        <f>1384+1000</f>
        <v>2384</v>
      </c>
      <c r="F329" s="270"/>
      <c r="G329" s="264"/>
      <c r="H329" s="152"/>
      <c r="I329" s="264"/>
      <c r="J329" s="152"/>
    </row>
    <row r="330" spans="1:10" ht="15">
      <c r="B330" s="274"/>
      <c r="C330" s="234" t="s">
        <v>321</v>
      </c>
      <c r="D330" s="276"/>
      <c r="E330" s="152">
        <f>15290</f>
        <v>15290</v>
      </c>
      <c r="F330" s="270"/>
      <c r="G330" s="264"/>
      <c r="H330" s="152"/>
      <c r="I330" s="264"/>
      <c r="J330" s="152"/>
    </row>
    <row r="331" spans="1:10" ht="15">
      <c r="B331" s="274"/>
      <c r="C331" s="234" t="s">
        <v>324</v>
      </c>
      <c r="D331" s="276"/>
      <c r="E331" s="152">
        <f>1400+600+1000+2900+100000-100000</f>
        <v>5900</v>
      </c>
      <c r="F331" s="270"/>
      <c r="G331" s="264"/>
      <c r="H331" s="152"/>
      <c r="I331" s="264"/>
      <c r="J331" s="152"/>
    </row>
    <row r="332" spans="1:10" ht="15">
      <c r="B332" s="274"/>
      <c r="C332" s="234" t="s">
        <v>1664</v>
      </c>
      <c r="D332" s="276"/>
      <c r="E332" s="152">
        <f>1200+1920-1920+20169+17020</f>
        <v>38389</v>
      </c>
      <c r="F332" s="270"/>
      <c r="G332" s="264"/>
      <c r="H332" s="152"/>
      <c r="I332" s="264"/>
      <c r="J332" s="152"/>
    </row>
    <row r="333" spans="1:10" ht="15">
      <c r="B333" s="274"/>
      <c r="C333" s="234" t="s">
        <v>881</v>
      </c>
      <c r="D333" s="276"/>
      <c r="E333" s="152">
        <f>7120+8720+6520+21180+12970+15400+9168</f>
        <v>81078</v>
      </c>
      <c r="F333" s="270"/>
      <c r="G333" s="264"/>
      <c r="H333" s="152"/>
      <c r="I333" s="264"/>
      <c r="J333" s="152"/>
    </row>
    <row r="334" spans="1:10" ht="15">
      <c r="A334" s="267"/>
      <c r="B334" s="250"/>
      <c r="C334" s="234" t="s">
        <v>1727</v>
      </c>
      <c r="D334" s="276"/>
      <c r="E334" s="152">
        <v>3260</v>
      </c>
      <c r="F334" s="270"/>
      <c r="G334" s="264">
        <v>106657.84</v>
      </c>
      <c r="H334" s="152"/>
      <c r="I334" s="264"/>
      <c r="J334" s="152"/>
    </row>
    <row r="335" spans="1:10" ht="15">
      <c r="B335" s="274"/>
      <c r="C335" s="234" t="s">
        <v>883</v>
      </c>
      <c r="D335" s="276"/>
      <c r="E335" s="152">
        <f>2600+4600-4600+2700-342-2358</f>
        <v>2600</v>
      </c>
      <c r="F335" s="270"/>
      <c r="G335" s="264"/>
      <c r="H335" s="152"/>
      <c r="I335" s="264"/>
      <c r="J335" s="152"/>
    </row>
    <row r="336" spans="1:10" ht="15">
      <c r="B336" s="274"/>
      <c r="C336" s="234" t="s">
        <v>884</v>
      </c>
      <c r="D336" s="276"/>
      <c r="E336" s="152">
        <f>960-960+960</f>
        <v>960</v>
      </c>
      <c r="F336" s="270"/>
      <c r="G336" s="264"/>
      <c r="H336" s="152"/>
      <c r="I336" s="264"/>
      <c r="J336" s="152"/>
    </row>
    <row r="337" spans="1:10" ht="15">
      <c r="B337" s="274"/>
      <c r="C337" s="234" t="s">
        <v>2424</v>
      </c>
      <c r="D337" s="276"/>
      <c r="E337" s="152">
        <f>8950+14842-8950-14842+8720+20110-8720-19700+9520</f>
        <v>9930</v>
      </c>
      <c r="F337" s="270"/>
      <c r="G337" s="264"/>
      <c r="H337" s="152"/>
      <c r="I337" s="264"/>
      <c r="J337" s="152"/>
    </row>
    <row r="338" spans="1:10" ht="15">
      <c r="B338" s="274"/>
      <c r="C338" s="234" t="s">
        <v>885</v>
      </c>
      <c r="D338" s="276"/>
      <c r="E338" s="152">
        <v>7976</v>
      </c>
      <c r="F338" s="270"/>
      <c r="G338" s="264"/>
      <c r="H338" s="152"/>
      <c r="I338" s="264"/>
      <c r="J338" s="152"/>
    </row>
    <row r="339" spans="1:10" ht="15">
      <c r="B339" s="274"/>
      <c r="C339" s="234" t="s">
        <v>886</v>
      </c>
      <c r="D339" s="276"/>
      <c r="E339" s="152">
        <f>800+1360</f>
        <v>2160</v>
      </c>
      <c r="F339" s="270"/>
      <c r="G339" s="264"/>
      <c r="H339" s="152"/>
      <c r="I339" s="264"/>
      <c r="J339" s="152"/>
    </row>
    <row r="340" spans="1:10" ht="15">
      <c r="B340" s="274"/>
      <c r="C340" s="234" t="s">
        <v>887</v>
      </c>
      <c r="D340" s="276"/>
      <c r="E340" s="152">
        <v>1500</v>
      </c>
      <c r="F340" s="270"/>
      <c r="G340" s="264"/>
      <c r="H340" s="152"/>
      <c r="I340" s="264"/>
      <c r="J340" s="152"/>
    </row>
    <row r="341" spans="1:10" ht="15">
      <c r="B341" s="274"/>
      <c r="C341" s="234" t="s">
        <v>888</v>
      </c>
      <c r="D341" s="276"/>
      <c r="E341" s="152">
        <f>1360</f>
        <v>1360</v>
      </c>
      <c r="F341" s="270"/>
      <c r="G341" s="264"/>
      <c r="H341" s="152"/>
      <c r="I341" s="264"/>
      <c r="J341" s="152"/>
    </row>
    <row r="342" spans="1:10" ht="15">
      <c r="B342" s="274"/>
      <c r="C342" s="234" t="s">
        <v>889</v>
      </c>
      <c r="D342" s="276"/>
      <c r="E342" s="152">
        <f>720</f>
        <v>720</v>
      </c>
      <c r="F342" s="270"/>
      <c r="G342" s="264">
        <v>525</v>
      </c>
      <c r="H342" s="152"/>
      <c r="I342" s="264"/>
      <c r="J342" s="152"/>
    </row>
    <row r="343" spans="1:10" ht="15">
      <c r="B343" s="274"/>
      <c r="C343" s="234" t="s">
        <v>371</v>
      </c>
      <c r="D343" s="276"/>
      <c r="E343" s="152">
        <v>3704</v>
      </c>
      <c r="F343" s="270"/>
      <c r="G343" s="264"/>
      <c r="H343" s="152"/>
      <c r="I343" s="264"/>
      <c r="J343" s="152"/>
    </row>
    <row r="344" spans="1:10" ht="15">
      <c r="B344" s="274"/>
      <c r="C344" s="234" t="s">
        <v>371</v>
      </c>
      <c r="D344" s="276"/>
      <c r="E344" s="152">
        <v>9506</v>
      </c>
      <c r="F344" s="270"/>
      <c r="G344" s="264"/>
      <c r="H344" s="152"/>
      <c r="I344" s="264"/>
      <c r="J344" s="152"/>
    </row>
    <row r="345" spans="1:10" ht="15">
      <c r="B345" s="274"/>
      <c r="C345" s="234" t="s">
        <v>2428</v>
      </c>
      <c r="D345" s="276"/>
      <c r="E345" s="152">
        <v>18038</v>
      </c>
      <c r="F345" s="270"/>
      <c r="G345" s="264">
        <v>750</v>
      </c>
      <c r="H345" s="152"/>
      <c r="I345" s="264"/>
      <c r="J345" s="152"/>
    </row>
    <row r="346" spans="1:10" ht="15">
      <c r="A346" s="247"/>
      <c r="B346" s="255"/>
      <c r="C346" s="234" t="s">
        <v>890</v>
      </c>
      <c r="D346" s="276"/>
      <c r="E346" s="152">
        <f>20110+9520</f>
        <v>29630</v>
      </c>
      <c r="F346" s="270"/>
      <c r="G346" s="264"/>
      <c r="H346" s="152"/>
      <c r="I346" s="264"/>
      <c r="J346" s="152"/>
    </row>
    <row r="347" spans="1:10" ht="15">
      <c r="B347" s="274"/>
      <c r="C347" s="234" t="s">
        <v>891</v>
      </c>
      <c r="D347" s="276"/>
      <c r="E347" s="152">
        <f>12022-5800-200+6502+1000-1000</f>
        <v>12524</v>
      </c>
      <c r="F347" s="270"/>
      <c r="G347" s="264"/>
      <c r="H347" s="152"/>
      <c r="I347" s="264"/>
      <c r="J347" s="152"/>
    </row>
    <row r="348" spans="1:10" ht="15">
      <c r="B348" s="274"/>
      <c r="C348" s="234" t="s">
        <v>892</v>
      </c>
      <c r="D348" s="276"/>
      <c r="E348" s="152">
        <f>600+1000+1400+2900-1600</f>
        <v>4300</v>
      </c>
      <c r="F348" s="270"/>
      <c r="G348" s="264">
        <v>223.5</v>
      </c>
      <c r="H348" s="152"/>
      <c r="I348" s="264"/>
      <c r="J348" s="152"/>
    </row>
    <row r="349" spans="1:10" ht="15">
      <c r="B349" s="274"/>
      <c r="C349" s="234" t="s">
        <v>893</v>
      </c>
      <c r="D349" s="276"/>
      <c r="E349" s="152">
        <f>19000-18780</f>
        <v>220</v>
      </c>
      <c r="F349" s="270"/>
      <c r="G349" s="264"/>
      <c r="H349" s="152"/>
      <c r="I349" s="264"/>
      <c r="J349" s="152"/>
    </row>
    <row r="350" spans="1:10" ht="15">
      <c r="B350" s="274"/>
      <c r="C350" s="234" t="s">
        <v>894</v>
      </c>
      <c r="D350" s="276"/>
      <c r="E350" s="152">
        <f>752+1900-23</f>
        <v>2629</v>
      </c>
      <c r="F350" s="270"/>
      <c r="G350" s="264"/>
      <c r="H350" s="152"/>
      <c r="I350" s="264"/>
      <c r="J350" s="152"/>
    </row>
    <row r="351" spans="1:10" ht="15">
      <c r="B351" s="274"/>
      <c r="C351" s="234" t="s">
        <v>1720</v>
      </c>
      <c r="D351" s="276"/>
      <c r="E351" s="152">
        <f>8260+5720-5720</f>
        <v>8260</v>
      </c>
      <c r="F351" s="270"/>
      <c r="G351" s="264">
        <f>SUM(G342:G349)</f>
        <v>1498.5</v>
      </c>
      <c r="H351" s="152"/>
      <c r="I351" s="264"/>
      <c r="J351" s="152"/>
    </row>
    <row r="352" spans="1:10" ht="15">
      <c r="B352" s="274"/>
      <c r="C352" s="234" t="s">
        <v>1721</v>
      </c>
      <c r="D352" s="276"/>
      <c r="E352" s="152">
        <v>5900</v>
      </c>
      <c r="F352" s="270"/>
      <c r="G352" s="264"/>
      <c r="H352" s="152"/>
      <c r="I352" s="264"/>
      <c r="J352" s="152"/>
    </row>
    <row r="353" spans="1:10" ht="15">
      <c r="B353" s="274"/>
      <c r="C353" s="234" t="s">
        <v>1722</v>
      </c>
      <c r="D353" s="276"/>
      <c r="E353" s="152">
        <f>2810+0.01</f>
        <v>2810.01</v>
      </c>
      <c r="F353" s="270"/>
      <c r="G353" s="264"/>
      <c r="H353" s="152"/>
      <c r="I353" s="264"/>
      <c r="J353" s="152"/>
    </row>
    <row r="354" spans="1:10" ht="15">
      <c r="B354" s="274"/>
      <c r="C354" s="234" t="s">
        <v>372</v>
      </c>
      <c r="D354" s="276"/>
      <c r="E354" s="152">
        <v>3324</v>
      </c>
      <c r="F354" s="270"/>
      <c r="G354" s="264"/>
      <c r="H354" s="152"/>
      <c r="I354" s="264"/>
      <c r="J354" s="152"/>
    </row>
    <row r="355" spans="1:10" ht="15">
      <c r="B355" s="274"/>
      <c r="C355" s="234" t="s">
        <v>372</v>
      </c>
      <c r="D355" s="276"/>
      <c r="E355" s="152">
        <v>9506</v>
      </c>
      <c r="F355" s="270"/>
      <c r="G355" s="264"/>
      <c r="H355" s="152"/>
      <c r="I355" s="264"/>
      <c r="J355" s="152"/>
    </row>
    <row r="356" spans="1:10" ht="15">
      <c r="B356" s="274"/>
      <c r="C356" s="234" t="s">
        <v>372</v>
      </c>
      <c r="D356" s="276"/>
      <c r="E356" s="152">
        <v>1404</v>
      </c>
      <c r="F356" s="270"/>
      <c r="G356" s="264"/>
      <c r="H356" s="152"/>
      <c r="I356" s="264"/>
      <c r="J356" s="152"/>
    </row>
    <row r="357" spans="1:10" ht="15">
      <c r="B357" s="274"/>
      <c r="C357" s="234" t="s">
        <v>2515</v>
      </c>
      <c r="D357" s="276"/>
      <c r="E357" s="152">
        <v>3360</v>
      </c>
      <c r="F357" s="270"/>
      <c r="G357" s="264"/>
      <c r="H357" s="152"/>
      <c r="I357" s="264"/>
      <c r="J357" s="152"/>
    </row>
    <row r="358" spans="1:10" ht="15">
      <c r="B358" s="274"/>
      <c r="C358" s="234" t="s">
        <v>1985</v>
      </c>
      <c r="D358" s="276" t="s">
        <v>37</v>
      </c>
      <c r="E358" s="152">
        <v>8272</v>
      </c>
      <c r="F358" s="270"/>
      <c r="G358" s="264"/>
      <c r="H358" s="152"/>
      <c r="I358" s="264"/>
      <c r="J358" s="152"/>
    </row>
    <row r="359" spans="1:10" ht="15">
      <c r="B359" s="274"/>
      <c r="C359" s="234" t="s">
        <v>1079</v>
      </c>
      <c r="D359" s="276"/>
      <c r="E359" s="152">
        <v>1404</v>
      </c>
      <c r="F359" s="270"/>
      <c r="G359" s="264"/>
      <c r="H359" s="152"/>
      <c r="I359" s="264"/>
      <c r="J359" s="152"/>
    </row>
    <row r="360" spans="1:10" ht="15" hidden="1">
      <c r="B360" s="274"/>
      <c r="C360" s="234" t="s">
        <v>1134</v>
      </c>
      <c r="D360" s="276" t="s">
        <v>25</v>
      </c>
      <c r="E360" s="152">
        <f>8272-16-8256</f>
        <v>0</v>
      </c>
      <c r="F360" s="270"/>
      <c r="G360" s="264"/>
      <c r="H360" s="152"/>
      <c r="I360" s="264"/>
      <c r="J360" s="152"/>
    </row>
    <row r="361" spans="1:10" ht="15" hidden="1">
      <c r="B361" s="274"/>
      <c r="C361" s="234" t="s">
        <v>1131</v>
      </c>
      <c r="D361" s="276" t="s">
        <v>15</v>
      </c>
      <c r="E361" s="152">
        <f>8272-16-8256</f>
        <v>0</v>
      </c>
      <c r="F361" s="270"/>
      <c r="G361" s="264"/>
      <c r="H361" s="152"/>
      <c r="I361" s="264"/>
      <c r="J361" s="152"/>
    </row>
    <row r="362" spans="1:10" ht="15" hidden="1">
      <c r="B362" s="274"/>
      <c r="C362" s="234" t="s">
        <v>842</v>
      </c>
      <c r="D362" s="276"/>
      <c r="E362" s="152">
        <f>5720+20110-5720-1445-18665</f>
        <v>0</v>
      </c>
      <c r="F362" s="270"/>
      <c r="G362" s="264"/>
      <c r="H362" s="152"/>
      <c r="I362" s="264"/>
      <c r="J362" s="152"/>
    </row>
    <row r="363" spans="1:10" ht="15" hidden="1">
      <c r="A363" s="267"/>
      <c r="B363" s="250"/>
      <c r="C363" s="234" t="s">
        <v>842</v>
      </c>
      <c r="D363" s="276" t="s">
        <v>30</v>
      </c>
      <c r="E363" s="152">
        <f>8272-16-8256</f>
        <v>0</v>
      </c>
      <c r="F363" s="270"/>
      <c r="G363" s="264"/>
      <c r="H363" s="152"/>
      <c r="I363" s="264"/>
      <c r="J363" s="152"/>
    </row>
    <row r="364" spans="1:10" ht="15" hidden="1">
      <c r="B364" s="274"/>
      <c r="C364" s="234" t="s">
        <v>1128</v>
      </c>
      <c r="D364" s="276" t="s">
        <v>12</v>
      </c>
      <c r="E364" s="152">
        <f>8272-16-8256</f>
        <v>0</v>
      </c>
      <c r="F364" s="270"/>
      <c r="G364" s="264"/>
      <c r="H364" s="152"/>
      <c r="I364" s="264"/>
      <c r="J364" s="152"/>
    </row>
    <row r="365" spans="1:10" ht="15" hidden="1">
      <c r="B365" s="274"/>
      <c r="C365" s="234" t="s">
        <v>2424</v>
      </c>
      <c r="D365" s="276" t="s">
        <v>38</v>
      </c>
      <c r="E365" s="152">
        <f>8052-8052</f>
        <v>0</v>
      </c>
      <c r="F365" s="270"/>
      <c r="G365" s="264"/>
      <c r="H365" s="152"/>
      <c r="I365" s="264"/>
      <c r="J365" s="152"/>
    </row>
    <row r="366" spans="1:10" ht="15" hidden="1">
      <c r="B366" s="274"/>
      <c r="C366" s="234" t="s">
        <v>1133</v>
      </c>
      <c r="D366" s="276"/>
      <c r="E366" s="152">
        <f>3260-3260</f>
        <v>0</v>
      </c>
      <c r="F366" s="270"/>
      <c r="G366" s="264"/>
      <c r="H366" s="152"/>
      <c r="I366" s="264"/>
      <c r="J366" s="152"/>
    </row>
    <row r="367" spans="1:10" ht="15" hidden="1">
      <c r="A367" s="267"/>
      <c r="B367" s="250"/>
      <c r="C367" s="234" t="s">
        <v>1727</v>
      </c>
      <c r="D367" s="276" t="s">
        <v>16</v>
      </c>
      <c r="E367" s="152">
        <f>8272-16-8256</f>
        <v>0</v>
      </c>
      <c r="F367" s="270"/>
      <c r="G367" s="264"/>
      <c r="H367" s="152"/>
      <c r="I367" s="264"/>
      <c r="J367" s="152"/>
    </row>
    <row r="368" spans="1:10" ht="15" hidden="1">
      <c r="B368" s="274"/>
      <c r="C368" s="234" t="s">
        <v>325</v>
      </c>
      <c r="D368" s="276"/>
      <c r="E368" s="152">
        <f>1000-1000</f>
        <v>0</v>
      </c>
      <c r="F368" s="270"/>
      <c r="G368" s="264"/>
      <c r="H368" s="152"/>
      <c r="I368" s="264"/>
      <c r="J368" s="152"/>
    </row>
    <row r="369" spans="1:10" ht="15" hidden="1">
      <c r="B369" s="274"/>
      <c r="C369" s="234" t="s">
        <v>882</v>
      </c>
      <c r="D369" s="276"/>
      <c r="E369" s="152">
        <f>1500-1700+200</f>
        <v>0</v>
      </c>
      <c r="F369" s="270"/>
      <c r="G369" s="264"/>
      <c r="H369" s="152"/>
      <c r="I369" s="264"/>
      <c r="J369" s="152"/>
    </row>
    <row r="370" spans="1:10" ht="15" hidden="1">
      <c r="A370" s="267"/>
      <c r="B370" s="250"/>
      <c r="C370" s="234" t="s">
        <v>1730</v>
      </c>
      <c r="D370" s="276"/>
      <c r="E370" s="152">
        <f>16616-429-16187</f>
        <v>0</v>
      </c>
      <c r="F370" s="270"/>
      <c r="G370" s="264"/>
      <c r="H370" s="152"/>
      <c r="I370" s="264"/>
      <c r="J370" s="152"/>
    </row>
    <row r="371" spans="1:10" ht="15" hidden="1">
      <c r="A371" s="267"/>
      <c r="B371" s="250"/>
      <c r="C371" s="234" t="s">
        <v>1137</v>
      </c>
      <c r="D371" s="276"/>
      <c r="E371" s="152">
        <f>16616-429-16187</f>
        <v>0</v>
      </c>
      <c r="F371" s="270"/>
      <c r="G371" s="264"/>
      <c r="H371" s="152"/>
      <c r="I371" s="264"/>
      <c r="J371" s="152"/>
    </row>
    <row r="372" spans="1:10" ht="15" hidden="1">
      <c r="B372" s="274"/>
      <c r="C372" s="234" t="s">
        <v>1137</v>
      </c>
      <c r="D372" s="276" t="s">
        <v>28</v>
      </c>
      <c r="E372" s="152">
        <f>8272-16-8256</f>
        <v>0</v>
      </c>
      <c r="F372" s="270"/>
      <c r="G372" s="264"/>
      <c r="H372" s="152"/>
      <c r="I372" s="264"/>
      <c r="J372" s="152"/>
    </row>
    <row r="373" spans="1:10" ht="15" hidden="1">
      <c r="B373" s="274"/>
      <c r="C373" s="234" t="s">
        <v>1132</v>
      </c>
      <c r="D373" s="276" t="s">
        <v>17</v>
      </c>
      <c r="E373" s="152">
        <f>8272-16-8256</f>
        <v>0</v>
      </c>
      <c r="F373" s="270"/>
      <c r="G373" s="264"/>
      <c r="H373" s="152"/>
      <c r="I373" s="264"/>
      <c r="J373" s="152"/>
    </row>
    <row r="374" spans="1:10" ht="15" hidden="1">
      <c r="B374" s="274"/>
      <c r="C374" s="255" t="s">
        <v>879</v>
      </c>
      <c r="D374" s="276"/>
      <c r="E374" s="152">
        <f>4925-301-4624</f>
        <v>0</v>
      </c>
      <c r="F374" s="270"/>
      <c r="G374" s="264"/>
      <c r="H374" s="152"/>
      <c r="I374" s="264"/>
      <c r="J374" s="152"/>
    </row>
    <row r="375" spans="1:10" ht="15" hidden="1">
      <c r="B375" s="274"/>
      <c r="C375" s="234" t="s">
        <v>880</v>
      </c>
      <c r="D375" s="276"/>
      <c r="E375" s="152">
        <f>3720-3720</f>
        <v>0</v>
      </c>
      <c r="F375" s="270"/>
      <c r="G375" s="264"/>
      <c r="H375" s="152"/>
      <c r="I375" s="264"/>
      <c r="J375" s="152"/>
    </row>
    <row r="376" spans="1:10" ht="15" hidden="1">
      <c r="B376" s="274"/>
      <c r="C376" s="234" t="s">
        <v>322</v>
      </c>
      <c r="D376" s="276"/>
      <c r="E376" s="152">
        <f>2872-2872</f>
        <v>0</v>
      </c>
      <c r="F376" s="270"/>
      <c r="G376" s="264"/>
      <c r="H376" s="152"/>
      <c r="I376" s="264"/>
      <c r="J376" s="152"/>
    </row>
    <row r="377" spans="1:10" ht="15" hidden="1">
      <c r="B377" s="274"/>
      <c r="C377" s="234" t="s">
        <v>323</v>
      </c>
      <c r="D377" s="276"/>
      <c r="E377" s="152">
        <f>1652+1900-1652-1900+1920-1920</f>
        <v>0</v>
      </c>
      <c r="F377" s="270"/>
      <c r="G377" s="264"/>
      <c r="H377" s="152"/>
      <c r="I377" s="264"/>
      <c r="J377" s="152"/>
    </row>
    <row r="378" spans="1:10" ht="15" hidden="1">
      <c r="B378" s="274"/>
      <c r="C378" s="234" t="s">
        <v>320</v>
      </c>
      <c r="D378" s="276"/>
      <c r="E378" s="152">
        <f>1500-1500</f>
        <v>0</v>
      </c>
      <c r="F378" s="270"/>
      <c r="G378" s="264"/>
      <c r="H378" s="152"/>
      <c r="I378" s="264"/>
      <c r="J378" s="152"/>
    </row>
    <row r="379" spans="1:10" ht="15" hidden="1">
      <c r="B379" s="274"/>
      <c r="C379" s="234" t="s">
        <v>1135</v>
      </c>
      <c r="D379" s="276" t="s">
        <v>26</v>
      </c>
      <c r="E379" s="152">
        <f>8272-16-8256</f>
        <v>0</v>
      </c>
      <c r="F379" s="270"/>
      <c r="G379" s="264"/>
      <c r="H379" s="152"/>
      <c r="I379" s="264"/>
      <c r="J379" s="152"/>
    </row>
    <row r="380" spans="1:10" ht="15" hidden="1">
      <c r="B380" s="274"/>
      <c r="C380" s="234" t="s">
        <v>317</v>
      </c>
      <c r="D380" s="276"/>
      <c r="E380" s="152">
        <f>4600-4600</f>
        <v>0</v>
      </c>
      <c r="F380" s="270"/>
      <c r="G380" s="264"/>
      <c r="H380" s="152"/>
      <c r="I380" s="264"/>
      <c r="J380" s="152"/>
    </row>
    <row r="381" spans="1:10" ht="15" hidden="1">
      <c r="B381" s="274"/>
      <c r="C381" s="234" t="s">
        <v>1129</v>
      </c>
      <c r="D381" s="276"/>
      <c r="E381" s="152">
        <f>3260-3260</f>
        <v>0</v>
      </c>
      <c r="F381" s="270"/>
      <c r="G381" s="264"/>
      <c r="H381" s="152"/>
      <c r="I381" s="264"/>
      <c r="J381" s="152"/>
    </row>
    <row r="382" spans="1:10" ht="15" hidden="1">
      <c r="B382" s="274"/>
      <c r="C382" s="234" t="s">
        <v>701</v>
      </c>
      <c r="D382" s="276"/>
      <c r="E382" s="152">
        <f>1920-1920+1120-1120</f>
        <v>0</v>
      </c>
      <c r="F382" s="270"/>
      <c r="G382" s="264"/>
      <c r="H382" s="152"/>
      <c r="I382" s="264"/>
      <c r="J382" s="152"/>
    </row>
    <row r="383" spans="1:10" ht="15" hidden="1">
      <c r="B383" s="274"/>
      <c r="C383" s="234" t="s">
        <v>1130</v>
      </c>
      <c r="D383" s="276"/>
      <c r="E383" s="152">
        <f>3704-3704</f>
        <v>0</v>
      </c>
      <c r="F383" s="270"/>
      <c r="G383" s="264"/>
      <c r="H383" s="152"/>
      <c r="I383" s="264"/>
      <c r="J383" s="152"/>
    </row>
    <row r="384" spans="1:10" ht="15" hidden="1">
      <c r="B384" s="274"/>
      <c r="C384" s="234" t="s">
        <v>1136</v>
      </c>
      <c r="D384" s="276" t="s">
        <v>27</v>
      </c>
      <c r="E384" s="152">
        <f>8272-16-8256</f>
        <v>0</v>
      </c>
      <c r="F384" s="270"/>
      <c r="G384" s="264"/>
      <c r="H384" s="152"/>
      <c r="I384" s="264"/>
      <c r="J384" s="152"/>
    </row>
    <row r="385" spans="1:10" ht="15" hidden="1">
      <c r="B385" s="274"/>
      <c r="C385" s="234" t="s">
        <v>691</v>
      </c>
      <c r="D385" s="276"/>
      <c r="E385" s="152">
        <f>5020-5020</f>
        <v>0</v>
      </c>
      <c r="F385" s="270"/>
      <c r="G385" s="264"/>
      <c r="H385" s="152"/>
      <c r="I385" s="264"/>
      <c r="J385" s="152"/>
    </row>
    <row r="386" spans="1:10" ht="15" hidden="1">
      <c r="B386" s="274"/>
      <c r="C386" s="234" t="s">
        <v>308</v>
      </c>
      <c r="D386" s="276"/>
      <c r="E386" s="152">
        <f>13250-13250</f>
        <v>0</v>
      </c>
      <c r="F386" s="270"/>
      <c r="G386" s="264"/>
      <c r="H386" s="152"/>
      <c r="I386" s="264"/>
      <c r="J386" s="152"/>
    </row>
    <row r="387" spans="1:10" ht="15" hidden="1">
      <c r="A387" s="267"/>
      <c r="B387" s="250"/>
      <c r="C387" s="234" t="s">
        <v>1742</v>
      </c>
      <c r="D387" s="276"/>
      <c r="E387" s="152">
        <f>17198-1766-15432</f>
        <v>0</v>
      </c>
      <c r="F387" s="270"/>
      <c r="G387" s="264"/>
      <c r="H387" s="152"/>
      <c r="I387" s="264"/>
      <c r="J387" s="152"/>
    </row>
    <row r="388" spans="1:10" ht="15" hidden="1">
      <c r="A388" s="267"/>
      <c r="B388" s="250"/>
      <c r="C388" s="234" t="s">
        <v>1734</v>
      </c>
      <c r="D388" s="276"/>
      <c r="E388" s="152">
        <f>16616-429-16187</f>
        <v>0</v>
      </c>
      <c r="F388" s="270"/>
      <c r="G388" s="264"/>
      <c r="H388" s="152"/>
      <c r="I388" s="264"/>
      <c r="J388" s="152"/>
    </row>
    <row r="389" spans="1:10" ht="15" hidden="1">
      <c r="A389" s="267"/>
      <c r="B389" s="250"/>
      <c r="C389" s="234" t="s">
        <v>1734</v>
      </c>
      <c r="D389" s="276" t="s">
        <v>24</v>
      </c>
      <c r="E389" s="152">
        <f>8272-16-8256</f>
        <v>0</v>
      </c>
      <c r="F389" s="270"/>
      <c r="G389" s="264"/>
      <c r="H389" s="152"/>
      <c r="I389" s="264"/>
      <c r="J389" s="152"/>
    </row>
    <row r="390" spans="1:10" ht="15" hidden="1">
      <c r="B390" s="274"/>
      <c r="C390" s="234" t="s">
        <v>1984</v>
      </c>
      <c r="D390" s="276"/>
      <c r="E390" s="152">
        <f>3260-3260</f>
        <v>0</v>
      </c>
      <c r="F390" s="270"/>
      <c r="G390" s="264"/>
      <c r="H390" s="152"/>
      <c r="I390" s="264"/>
      <c r="J390" s="152"/>
    </row>
    <row r="391" spans="1:10" ht="15" hidden="1">
      <c r="B391" s="274"/>
      <c r="C391" s="234" t="s">
        <v>303</v>
      </c>
      <c r="D391" s="276"/>
      <c r="E391" s="152">
        <f>4160+3520-4160-3520</f>
        <v>0</v>
      </c>
      <c r="F391" s="270"/>
      <c r="G391" s="264"/>
      <c r="H391" s="152"/>
      <c r="I391" s="264"/>
      <c r="J391" s="152"/>
    </row>
    <row r="392" spans="1:10" ht="15" hidden="1">
      <c r="B392" s="274"/>
      <c r="C392" s="234" t="s">
        <v>1982</v>
      </c>
      <c r="D392" s="276" t="s">
        <v>35</v>
      </c>
      <c r="E392" s="152">
        <f>8272-16-8256</f>
        <v>0</v>
      </c>
      <c r="F392" s="270"/>
      <c r="G392" s="264"/>
      <c r="H392" s="152"/>
      <c r="I392" s="264"/>
      <c r="J392" s="152"/>
    </row>
    <row r="393" spans="1:10" ht="15" hidden="1">
      <c r="B393" s="274"/>
      <c r="C393" s="234" t="s">
        <v>299</v>
      </c>
      <c r="D393" s="276"/>
      <c r="E393" s="152">
        <f>5120+3520-5120-3520</f>
        <v>0</v>
      </c>
      <c r="F393" s="270"/>
      <c r="G393" s="264"/>
      <c r="H393" s="152"/>
      <c r="I393" s="264"/>
      <c r="J393" s="152"/>
    </row>
    <row r="394" spans="1:10" ht="15" hidden="1">
      <c r="B394" s="274"/>
      <c r="C394" s="234" t="s">
        <v>298</v>
      </c>
      <c r="D394" s="276"/>
      <c r="E394" s="152">
        <f>13250-13250</f>
        <v>0</v>
      </c>
      <c r="F394" s="270"/>
      <c r="G394" s="264"/>
      <c r="H394" s="152"/>
      <c r="I394" s="264"/>
      <c r="J394" s="152"/>
    </row>
    <row r="395" spans="1:10" ht="15" hidden="1">
      <c r="B395" s="274"/>
      <c r="C395" s="255" t="s">
        <v>265</v>
      </c>
      <c r="D395" s="276"/>
      <c r="E395" s="152">
        <f>8642-8642</f>
        <v>0</v>
      </c>
      <c r="F395" s="270"/>
      <c r="G395" s="264"/>
      <c r="H395" s="152"/>
      <c r="I395" s="264"/>
      <c r="J395" s="152"/>
    </row>
    <row r="396" spans="1:10" ht="15" hidden="1">
      <c r="B396" s="274"/>
      <c r="C396" s="234" t="s">
        <v>2088</v>
      </c>
      <c r="D396" s="276" t="s">
        <v>2089</v>
      </c>
      <c r="E396" s="152">
        <f>4380-765-3615</f>
        <v>0</v>
      </c>
      <c r="F396" s="270"/>
      <c r="G396" s="264"/>
      <c r="H396" s="152"/>
      <c r="I396" s="264"/>
      <c r="J396" s="152"/>
    </row>
    <row r="397" spans="1:10" ht="15" hidden="1">
      <c r="A397" s="267"/>
      <c r="B397" s="250"/>
      <c r="C397" s="234" t="s">
        <v>1731</v>
      </c>
      <c r="D397" s="276" t="s">
        <v>19</v>
      </c>
      <c r="E397" s="152">
        <f>8272-8272</f>
        <v>0</v>
      </c>
      <c r="F397" s="270"/>
      <c r="G397" s="264"/>
      <c r="H397" s="152"/>
      <c r="I397" s="264"/>
      <c r="J397" s="152"/>
    </row>
    <row r="398" spans="1:10" ht="15" hidden="1">
      <c r="B398" s="274"/>
      <c r="C398" s="234" t="s">
        <v>1986</v>
      </c>
      <c r="D398" s="276"/>
      <c r="E398" s="152">
        <f>3260-3260</f>
        <v>0</v>
      </c>
      <c r="F398" s="270"/>
      <c r="G398" s="264"/>
      <c r="H398" s="152"/>
      <c r="I398" s="264"/>
      <c r="J398" s="152"/>
    </row>
    <row r="399" spans="1:10" ht="15" hidden="1">
      <c r="B399" s="274"/>
      <c r="C399" s="234" t="s">
        <v>1981</v>
      </c>
      <c r="D399" s="276"/>
      <c r="E399" s="152">
        <f>2956-2956</f>
        <v>0</v>
      </c>
      <c r="F399" s="270"/>
      <c r="G399" s="264"/>
      <c r="H399" s="152"/>
      <c r="I399" s="264"/>
      <c r="J399" s="152"/>
    </row>
    <row r="400" spans="1:10" ht="15" hidden="1">
      <c r="B400" s="274"/>
      <c r="C400" s="234" t="s">
        <v>1426</v>
      </c>
      <c r="D400" s="276"/>
      <c r="E400" s="246">
        <f>12084-1120-10964</f>
        <v>0</v>
      </c>
      <c r="F400" s="270"/>
      <c r="G400" s="264"/>
      <c r="H400" s="152"/>
      <c r="I400" s="264"/>
      <c r="J400" s="152"/>
    </row>
    <row r="401" spans="1:10" ht="15" hidden="1">
      <c r="B401" s="274"/>
      <c r="C401" s="234" t="s">
        <v>1897</v>
      </c>
      <c r="D401" s="276"/>
      <c r="E401" s="152">
        <f>3312-3312</f>
        <v>0</v>
      </c>
      <c r="F401" s="270"/>
      <c r="G401" s="264"/>
      <c r="H401" s="152"/>
      <c r="I401" s="264"/>
      <c r="J401" s="152"/>
    </row>
    <row r="402" spans="1:10" ht="15" hidden="1">
      <c r="B402" s="274"/>
      <c r="C402" s="234" t="s">
        <v>254</v>
      </c>
      <c r="D402" s="276"/>
      <c r="E402" s="152">
        <f>7030-265.96-6764.04</f>
        <v>0</v>
      </c>
      <c r="F402" s="270"/>
      <c r="G402" s="264"/>
      <c r="H402" s="152"/>
      <c r="I402" s="264"/>
      <c r="J402" s="152"/>
    </row>
    <row r="403" spans="1:10" ht="15" hidden="1">
      <c r="B403" s="274"/>
      <c r="C403" s="234" t="s">
        <v>253</v>
      </c>
      <c r="D403" s="276"/>
      <c r="E403" s="152">
        <f>5020-860-4160</f>
        <v>0</v>
      </c>
      <c r="F403" s="270"/>
      <c r="G403" s="264"/>
      <c r="H403" s="152"/>
      <c r="I403" s="264"/>
      <c r="J403" s="152"/>
    </row>
    <row r="404" spans="1:10" ht="15" hidden="1">
      <c r="A404" s="267"/>
      <c r="B404" s="250"/>
      <c r="C404" s="234" t="s">
        <v>1735</v>
      </c>
      <c r="D404" s="276"/>
      <c r="E404" s="152">
        <f>12820-1418-11402</f>
        <v>0</v>
      </c>
      <c r="F404" s="270"/>
      <c r="G404" s="264"/>
      <c r="H404" s="152"/>
      <c r="I404" s="264"/>
      <c r="J404" s="152"/>
    </row>
    <row r="405" spans="1:10" ht="15" hidden="1">
      <c r="B405" s="274"/>
      <c r="C405" s="234" t="s">
        <v>252</v>
      </c>
      <c r="D405" s="276"/>
      <c r="E405" s="152">
        <f>9862-9862</f>
        <v>0</v>
      </c>
      <c r="F405" s="270"/>
      <c r="G405" s="264"/>
      <c r="H405" s="152"/>
      <c r="I405" s="264"/>
      <c r="J405" s="152"/>
    </row>
    <row r="406" spans="1:10" ht="15" hidden="1">
      <c r="B406" s="274"/>
      <c r="C406" s="234" t="s">
        <v>249</v>
      </c>
      <c r="D406" s="276"/>
      <c r="E406" s="152">
        <f>5720-5720</f>
        <v>0</v>
      </c>
      <c r="F406" s="270"/>
      <c r="G406" s="264"/>
      <c r="H406" s="152"/>
      <c r="I406" s="264"/>
      <c r="J406" s="152"/>
    </row>
    <row r="407" spans="1:10" ht="15" hidden="1">
      <c r="A407" s="267"/>
      <c r="B407" s="250"/>
      <c r="C407" s="234" t="s">
        <v>1739</v>
      </c>
      <c r="D407" s="276"/>
      <c r="E407" s="152">
        <f>2680-2680</f>
        <v>0</v>
      </c>
      <c r="F407" s="270"/>
      <c r="G407" s="264"/>
      <c r="H407" s="152"/>
      <c r="I407" s="264"/>
      <c r="J407" s="152"/>
    </row>
    <row r="408" spans="1:10" ht="15" hidden="1">
      <c r="B408" s="274"/>
      <c r="C408" s="234" t="s">
        <v>1424</v>
      </c>
      <c r="D408" s="276"/>
      <c r="E408" s="152">
        <f>25000+25000-25000-25000</f>
        <v>0</v>
      </c>
      <c r="F408" s="270"/>
      <c r="G408" s="264"/>
      <c r="H408" s="152"/>
      <c r="I408" s="264"/>
      <c r="J408" s="152"/>
    </row>
    <row r="409" spans="1:10" ht="15" hidden="1">
      <c r="A409" s="267"/>
      <c r="B409" s="250"/>
      <c r="C409" s="234" t="s">
        <v>1732</v>
      </c>
      <c r="D409" s="276" t="s">
        <v>55</v>
      </c>
      <c r="E409" s="152">
        <f>12216-12216</f>
        <v>0</v>
      </c>
      <c r="F409" s="270"/>
      <c r="G409" s="264"/>
      <c r="H409" s="152"/>
      <c r="I409" s="264"/>
      <c r="J409" s="152"/>
    </row>
    <row r="410" spans="1:10" ht="15" hidden="1">
      <c r="A410" s="267"/>
      <c r="B410" s="250"/>
      <c r="C410" s="234" t="s">
        <v>22</v>
      </c>
      <c r="D410" s="276" t="s">
        <v>23</v>
      </c>
      <c r="E410" s="152">
        <f>8272-16-8256</f>
        <v>0</v>
      </c>
      <c r="F410" s="270"/>
      <c r="G410" s="264"/>
      <c r="H410" s="152"/>
      <c r="I410" s="264"/>
      <c r="J410" s="152"/>
    </row>
    <row r="411" spans="1:10" ht="15" hidden="1">
      <c r="B411" s="274"/>
      <c r="C411" s="234" t="s">
        <v>1419</v>
      </c>
      <c r="D411" s="276"/>
      <c r="E411" s="152">
        <f>4000-4000+1900-1860-40</f>
        <v>0</v>
      </c>
      <c r="F411" s="270"/>
      <c r="G411" s="264"/>
      <c r="H411" s="152"/>
      <c r="I411" s="264"/>
      <c r="J411" s="152"/>
    </row>
    <row r="412" spans="1:10" ht="15" hidden="1">
      <c r="B412" s="274"/>
      <c r="C412" s="234" t="s">
        <v>243</v>
      </c>
      <c r="D412" s="276"/>
      <c r="E412" s="152">
        <f>1440-1440</f>
        <v>0</v>
      </c>
      <c r="F412" s="270"/>
      <c r="G412" s="264"/>
      <c r="H412" s="152"/>
      <c r="I412" s="264"/>
      <c r="J412" s="152"/>
    </row>
    <row r="413" spans="1:10" ht="15" hidden="1">
      <c r="B413" s="274"/>
      <c r="C413" s="234" t="s">
        <v>1980</v>
      </c>
      <c r="D413" s="276" t="s">
        <v>29</v>
      </c>
      <c r="E413" s="152">
        <f>8272-16-8256</f>
        <v>0</v>
      </c>
      <c r="F413" s="270"/>
      <c r="G413" s="264"/>
      <c r="H413" s="152"/>
      <c r="I413" s="264"/>
      <c r="J413" s="152"/>
    </row>
    <row r="414" spans="1:10" ht="15" hidden="1">
      <c r="A414" s="267"/>
      <c r="B414" s="250"/>
      <c r="C414" s="234" t="s">
        <v>1728</v>
      </c>
      <c r="E414" s="152">
        <f>16616-429-16187</f>
        <v>0</v>
      </c>
      <c r="F414" s="270"/>
      <c r="G414" s="264"/>
      <c r="H414" s="152"/>
      <c r="I414" s="264"/>
      <c r="J414" s="152"/>
    </row>
    <row r="415" spans="1:10" ht="15" hidden="1">
      <c r="A415" s="267"/>
      <c r="B415" s="250"/>
      <c r="C415" s="234" t="s">
        <v>1728</v>
      </c>
      <c r="D415" s="276" t="s">
        <v>54</v>
      </c>
      <c r="E415" s="152">
        <f>12216-12216</f>
        <v>0</v>
      </c>
      <c r="F415" s="270"/>
      <c r="G415" s="264"/>
      <c r="H415" s="152"/>
      <c r="I415" s="264"/>
      <c r="J415" s="152"/>
    </row>
    <row r="416" spans="1:10" ht="15" hidden="1">
      <c r="B416" s="274"/>
      <c r="C416" s="234" t="s">
        <v>13</v>
      </c>
      <c r="D416" s="276" t="s">
        <v>14</v>
      </c>
      <c r="E416" s="152">
        <f>4052-532-3520</f>
        <v>0</v>
      </c>
      <c r="F416" s="270"/>
      <c r="G416" s="264"/>
      <c r="H416" s="152"/>
      <c r="I416" s="264"/>
      <c r="J416" s="152"/>
    </row>
    <row r="417" spans="1:10" ht="15" hidden="1">
      <c r="A417" s="267"/>
      <c r="B417" s="250"/>
      <c r="C417" s="234" t="s">
        <v>1983</v>
      </c>
      <c r="D417" s="276" t="s">
        <v>36</v>
      </c>
      <c r="E417" s="152">
        <f>8272-16-8256</f>
        <v>0</v>
      </c>
      <c r="F417" s="270"/>
      <c r="G417" s="264"/>
      <c r="H417" s="152"/>
      <c r="I417" s="264"/>
      <c r="J417" s="152"/>
    </row>
    <row r="418" spans="1:10" ht="15" hidden="1">
      <c r="A418" s="267"/>
      <c r="B418" s="250"/>
      <c r="C418" s="234" t="s">
        <v>1983</v>
      </c>
      <c r="D418" s="276"/>
      <c r="E418" s="152">
        <f>16616-429-16187</f>
        <v>0</v>
      </c>
      <c r="F418" s="270"/>
      <c r="G418" s="264"/>
      <c r="H418" s="152"/>
      <c r="I418" s="264"/>
      <c r="J418" s="152"/>
    </row>
    <row r="419" spans="1:10" ht="15" hidden="1">
      <c r="B419" s="274"/>
      <c r="C419" s="234" t="s">
        <v>1078</v>
      </c>
      <c r="D419" s="276"/>
      <c r="E419" s="152">
        <f>4080-4080</f>
        <v>0</v>
      </c>
      <c r="F419" s="270"/>
      <c r="G419" s="264"/>
      <c r="H419" s="152"/>
      <c r="I419" s="264"/>
      <c r="J419" s="152"/>
    </row>
    <row r="420" spans="1:10" ht="15" hidden="1">
      <c r="A420" s="267"/>
      <c r="B420" s="250"/>
      <c r="C420" s="234" t="s">
        <v>1728</v>
      </c>
      <c r="D420" s="276" t="s">
        <v>18</v>
      </c>
      <c r="E420" s="152">
        <f>8272-16-8256</f>
        <v>0</v>
      </c>
      <c r="F420" s="270"/>
      <c r="G420" s="264"/>
      <c r="H420" s="152"/>
      <c r="I420" s="264"/>
      <c r="J420" s="152"/>
    </row>
    <row r="421" spans="1:10" ht="15" hidden="1">
      <c r="A421" s="267"/>
      <c r="B421" s="250"/>
      <c r="C421" s="234" t="s">
        <v>1740</v>
      </c>
      <c r="D421" s="276"/>
      <c r="E421" s="152">
        <f>16616-429-16167-20</f>
        <v>0</v>
      </c>
      <c r="F421" s="270"/>
      <c r="G421" s="264"/>
      <c r="H421" s="152"/>
      <c r="I421" s="264"/>
      <c r="J421" s="152"/>
    </row>
    <row r="422" spans="1:10" ht="15" hidden="1">
      <c r="A422" s="267"/>
      <c r="B422" s="250"/>
      <c r="C422" s="234" t="s">
        <v>1731</v>
      </c>
      <c r="D422" s="276"/>
      <c r="E422" s="152">
        <f>16616-15788-828</f>
        <v>0</v>
      </c>
      <c r="F422" s="270"/>
      <c r="G422" s="264"/>
      <c r="H422" s="152"/>
      <c r="I422" s="264"/>
      <c r="J422" s="152"/>
    </row>
    <row r="423" spans="1:10" ht="15" hidden="1">
      <c r="A423" s="267"/>
      <c r="B423" s="250"/>
      <c r="C423" s="234" t="s">
        <v>1077</v>
      </c>
      <c r="D423" s="276"/>
      <c r="E423" s="152">
        <f>1215-1215</f>
        <v>0</v>
      </c>
      <c r="F423" s="270"/>
      <c r="G423" s="264"/>
      <c r="H423" s="152"/>
      <c r="I423" s="264"/>
      <c r="J423" s="152"/>
    </row>
    <row r="424" spans="1:10" ht="15" hidden="1">
      <c r="B424" s="274"/>
      <c r="C424" s="234" t="s">
        <v>1076</v>
      </c>
      <c r="D424" s="276"/>
      <c r="E424" s="152">
        <f>1215-1215</f>
        <v>0</v>
      </c>
      <c r="F424" s="270"/>
      <c r="G424" s="264"/>
      <c r="H424" s="152"/>
      <c r="I424" s="264"/>
      <c r="J424" s="152"/>
    </row>
    <row r="425" spans="1:10" ht="15">
      <c r="B425" s="274"/>
      <c r="C425" s="247" t="s">
        <v>1723</v>
      </c>
      <c r="E425" s="288">
        <f>SUM(E258:E420)</f>
        <v>1710763.7100000002</v>
      </c>
      <c r="F425" s="270"/>
      <c r="G425" s="264"/>
      <c r="H425" s="152"/>
      <c r="I425" s="264"/>
      <c r="J425" s="152"/>
    </row>
    <row r="426" spans="1:10" ht="15">
      <c r="A426" s="250"/>
      <c r="B426" s="250"/>
      <c r="C426" s="268" t="s">
        <v>2229</v>
      </c>
      <c r="D426" s="268"/>
      <c r="E426" s="289">
        <f>+E254+E425</f>
        <v>31059154.899999995</v>
      </c>
      <c r="F426" s="270">
        <f>+E426-TB!H41</f>
        <v>30300903.979999993</v>
      </c>
      <c r="G426" s="264">
        <f>+F426/2</f>
        <v>15150451.989999996</v>
      </c>
      <c r="H426" s="152"/>
      <c r="I426" s="264"/>
      <c r="J426" s="152"/>
    </row>
    <row r="427" spans="1:10" ht="15">
      <c r="A427" s="250"/>
      <c r="B427" s="250"/>
      <c r="C427" s="250"/>
      <c r="D427" s="250"/>
      <c r="E427" s="240"/>
      <c r="F427" s="270"/>
      <c r="G427" s="264"/>
      <c r="H427" s="152"/>
      <c r="I427" s="264"/>
      <c r="J427" s="152"/>
    </row>
    <row r="428" spans="1:10" ht="15">
      <c r="A428" s="250"/>
      <c r="B428" s="250"/>
      <c r="C428" s="250"/>
      <c r="D428" s="250"/>
      <c r="E428" s="240"/>
      <c r="F428" s="270"/>
      <c r="G428" s="264"/>
      <c r="H428" s="152"/>
      <c r="I428" s="264"/>
      <c r="J428" s="152"/>
    </row>
    <row r="429" spans="1:10" ht="15">
      <c r="A429" s="247" t="s">
        <v>1724</v>
      </c>
      <c r="C429" s="247"/>
      <c r="F429" s="249"/>
      <c r="G429" s="264"/>
      <c r="H429" s="152"/>
      <c r="I429" s="264"/>
      <c r="J429" s="152"/>
    </row>
    <row r="430" spans="1:10">
      <c r="A430" s="267"/>
      <c r="C430" s="234" t="s">
        <v>1725</v>
      </c>
      <c r="E430" s="152">
        <v>200</v>
      </c>
      <c r="G430" s="264"/>
      <c r="H430" s="152"/>
      <c r="I430" s="264"/>
      <c r="J430" s="152"/>
    </row>
    <row r="431" spans="1:10">
      <c r="A431" s="267"/>
      <c r="B431" s="250"/>
      <c r="C431" s="250" t="s">
        <v>1813</v>
      </c>
      <c r="D431" s="250"/>
      <c r="E431" s="240">
        <v>200</v>
      </c>
      <c r="F431" s="240"/>
      <c r="G431" s="264"/>
      <c r="H431" s="152"/>
      <c r="I431" s="264"/>
      <c r="J431" s="152"/>
    </row>
    <row r="432" spans="1:10">
      <c r="A432" s="267"/>
      <c r="B432" s="250"/>
      <c r="C432" s="250" t="s">
        <v>1814</v>
      </c>
      <c r="D432" s="250"/>
      <c r="E432" s="240">
        <v>500</v>
      </c>
      <c r="F432" s="240"/>
      <c r="G432" s="264"/>
      <c r="H432" s="152"/>
      <c r="I432" s="264"/>
      <c r="J432" s="152"/>
    </row>
    <row r="433" spans="1:10">
      <c r="A433" s="267"/>
      <c r="B433" s="250"/>
      <c r="C433" s="250" t="s">
        <v>1815</v>
      </c>
      <c r="D433" s="250"/>
      <c r="E433" s="240">
        <v>800</v>
      </c>
      <c r="F433" s="240"/>
      <c r="G433" s="264"/>
      <c r="H433" s="152"/>
      <c r="I433" s="264"/>
      <c r="J433" s="152"/>
    </row>
    <row r="434" spans="1:10">
      <c r="A434" s="267"/>
      <c r="B434" s="250"/>
      <c r="C434" s="250" t="s">
        <v>1816</v>
      </c>
      <c r="D434" s="250"/>
      <c r="E434" s="240">
        <v>1100</v>
      </c>
      <c r="F434" s="240"/>
      <c r="G434" s="264"/>
      <c r="H434" s="152"/>
      <c r="I434" s="264"/>
      <c r="J434" s="152"/>
    </row>
    <row r="435" spans="1:10">
      <c r="A435" s="267"/>
      <c r="B435" s="250"/>
      <c r="C435" s="250" t="s">
        <v>1817</v>
      </c>
      <c r="D435" s="250"/>
      <c r="E435" s="240">
        <v>200</v>
      </c>
      <c r="F435" s="240"/>
      <c r="G435" s="264"/>
      <c r="H435" s="152"/>
      <c r="I435" s="264"/>
      <c r="J435" s="152"/>
    </row>
    <row r="436" spans="1:10">
      <c r="A436" s="267"/>
      <c r="B436" s="250"/>
      <c r="C436" s="250" t="s">
        <v>1818</v>
      </c>
      <c r="D436" s="250"/>
      <c r="E436" s="240">
        <v>724</v>
      </c>
      <c r="F436" s="240"/>
      <c r="G436" s="264"/>
      <c r="H436" s="152"/>
      <c r="I436" s="264"/>
      <c r="J436" s="152"/>
    </row>
    <row r="437" spans="1:10">
      <c r="A437" s="267"/>
      <c r="B437" s="250"/>
      <c r="C437" s="250" t="s">
        <v>1819</v>
      </c>
      <c r="D437" s="250"/>
      <c r="E437" s="240">
        <v>1478</v>
      </c>
      <c r="F437" s="240"/>
      <c r="G437" s="264"/>
      <c r="H437" s="152"/>
      <c r="I437" s="264"/>
      <c r="J437" s="152"/>
    </row>
    <row r="438" spans="1:10">
      <c r="A438" s="267"/>
      <c r="B438" s="250"/>
      <c r="C438" s="250" t="s">
        <v>1049</v>
      </c>
      <c r="D438" s="250"/>
      <c r="E438" s="240">
        <v>1000</v>
      </c>
      <c r="F438" s="240"/>
      <c r="G438" s="264"/>
      <c r="H438" s="152"/>
      <c r="I438" s="264"/>
      <c r="J438" s="152"/>
    </row>
    <row r="439" spans="1:10">
      <c r="A439" s="267"/>
      <c r="B439" s="250"/>
      <c r="C439" s="250" t="s">
        <v>1050</v>
      </c>
      <c r="D439" s="250"/>
      <c r="E439" s="240">
        <v>1000</v>
      </c>
      <c r="F439" s="240"/>
      <c r="G439" s="264"/>
      <c r="H439" s="152"/>
      <c r="I439" s="264"/>
      <c r="J439" s="152"/>
    </row>
    <row r="440" spans="1:10">
      <c r="A440" s="267"/>
      <c r="B440" s="250"/>
      <c r="C440" s="250" t="s">
        <v>1051</v>
      </c>
      <c r="D440" s="250"/>
      <c r="E440" s="240">
        <v>1274</v>
      </c>
      <c r="F440" s="240"/>
      <c r="G440" s="264"/>
      <c r="H440" s="152"/>
      <c r="I440" s="264"/>
      <c r="J440" s="152"/>
    </row>
    <row r="441" spans="1:10">
      <c r="A441" s="267"/>
      <c r="B441" s="250"/>
      <c r="C441" s="250" t="s">
        <v>1052</v>
      </c>
      <c r="D441" s="250"/>
      <c r="E441" s="240">
        <v>223.48</v>
      </c>
      <c r="F441" s="240"/>
      <c r="G441" s="264"/>
      <c r="H441" s="152"/>
      <c r="I441" s="264"/>
      <c r="J441" s="152"/>
    </row>
    <row r="442" spans="1:10">
      <c r="A442" s="267"/>
      <c r="B442" s="250"/>
      <c r="C442" s="250" t="s">
        <v>1053</v>
      </c>
      <c r="D442" s="250"/>
      <c r="E442" s="240">
        <v>950</v>
      </c>
      <c r="F442" s="240"/>
      <c r="G442" s="264"/>
      <c r="H442" s="152"/>
      <c r="I442" s="264"/>
      <c r="J442" s="152"/>
    </row>
    <row r="443" spans="1:10">
      <c r="A443" s="267"/>
      <c r="B443" s="250"/>
      <c r="C443" s="250" t="s">
        <v>1054</v>
      </c>
      <c r="D443" s="250"/>
      <c r="E443" s="240">
        <v>1000</v>
      </c>
      <c r="F443" s="240"/>
      <c r="G443" s="264"/>
      <c r="H443" s="152"/>
      <c r="I443" s="264"/>
      <c r="J443" s="152"/>
    </row>
    <row r="444" spans="1:10">
      <c r="A444" s="267"/>
      <c r="B444" s="250"/>
      <c r="C444" s="250" t="s">
        <v>1055</v>
      </c>
      <c r="D444" s="250"/>
      <c r="E444" s="240">
        <v>547</v>
      </c>
      <c r="F444" s="240"/>
      <c r="G444" s="264"/>
      <c r="H444" s="152"/>
      <c r="I444" s="264"/>
      <c r="J444" s="152"/>
    </row>
    <row r="445" spans="1:10">
      <c r="A445" s="267"/>
      <c r="B445" s="250"/>
      <c r="C445" s="250" t="s">
        <v>1056</v>
      </c>
      <c r="D445" s="250"/>
      <c r="E445" s="240">
        <v>2059</v>
      </c>
      <c r="F445" s="240"/>
      <c r="G445" s="264"/>
      <c r="H445" s="152"/>
      <c r="I445" s="264"/>
      <c r="J445" s="152"/>
    </row>
    <row r="446" spans="1:10">
      <c r="A446" s="267"/>
      <c r="B446" s="250"/>
      <c r="C446" s="250" t="s">
        <v>1057</v>
      </c>
      <c r="D446" s="250"/>
      <c r="E446" s="240">
        <v>1000</v>
      </c>
      <c r="F446" s="240"/>
      <c r="G446" s="264"/>
      <c r="H446" s="152"/>
      <c r="I446" s="264"/>
      <c r="J446" s="152"/>
    </row>
    <row r="447" spans="1:10">
      <c r="A447" s="267"/>
      <c r="B447" s="250"/>
      <c r="C447" s="250" t="s">
        <v>1696</v>
      </c>
      <c r="D447" s="250"/>
      <c r="E447" s="240">
        <v>1000</v>
      </c>
      <c r="F447" s="240"/>
      <c r="G447" s="264"/>
      <c r="H447" s="152"/>
      <c r="I447" s="264"/>
      <c r="J447" s="152"/>
    </row>
    <row r="448" spans="1:10">
      <c r="A448" s="267"/>
      <c r="B448" s="250"/>
      <c r="C448" s="250" t="s">
        <v>1697</v>
      </c>
      <c r="D448" s="250"/>
      <c r="E448" s="240">
        <v>1000</v>
      </c>
      <c r="F448" s="240"/>
      <c r="G448" s="264"/>
      <c r="H448" s="152"/>
      <c r="I448" s="264"/>
      <c r="J448" s="152"/>
    </row>
    <row r="449" spans="1:10">
      <c r="A449" s="267"/>
      <c r="B449" s="250"/>
      <c r="C449" s="250" t="s">
        <v>1698</v>
      </c>
      <c r="D449" s="250"/>
      <c r="E449" s="240">
        <v>2000</v>
      </c>
      <c r="F449" s="240"/>
      <c r="G449" s="264"/>
      <c r="H449" s="152"/>
      <c r="I449" s="264"/>
      <c r="J449" s="152"/>
    </row>
    <row r="450" spans="1:10">
      <c r="A450" s="267"/>
      <c r="B450" s="250"/>
      <c r="C450" s="250" t="s">
        <v>1699</v>
      </c>
      <c r="D450" s="250"/>
      <c r="E450" s="240">
        <v>1000</v>
      </c>
      <c r="F450" s="240"/>
      <c r="G450" s="264"/>
      <c r="H450" s="152"/>
      <c r="I450" s="264"/>
      <c r="J450" s="152"/>
    </row>
    <row r="451" spans="1:10">
      <c r="A451" s="267"/>
      <c r="B451" s="250"/>
      <c r="C451" s="250" t="s">
        <v>1700</v>
      </c>
      <c r="D451" s="250"/>
      <c r="E451" s="240">
        <v>3000</v>
      </c>
      <c r="F451" s="240"/>
      <c r="G451" s="264"/>
      <c r="H451" s="152"/>
      <c r="I451" s="264"/>
      <c r="J451" s="152"/>
    </row>
    <row r="452" spans="1:10">
      <c r="A452" s="267"/>
      <c r="B452" s="250"/>
      <c r="C452" s="250" t="s">
        <v>1701</v>
      </c>
      <c r="D452" s="250"/>
      <c r="E452" s="240">
        <v>500</v>
      </c>
      <c r="F452" s="240"/>
      <c r="G452" s="264"/>
      <c r="H452" s="152"/>
      <c r="I452" s="264"/>
      <c r="J452" s="152"/>
    </row>
    <row r="453" spans="1:10">
      <c r="A453" s="267"/>
      <c r="B453" s="250"/>
      <c r="C453" s="250" t="s">
        <v>1702</v>
      </c>
      <c r="D453" s="250"/>
      <c r="E453" s="240">
        <v>500</v>
      </c>
      <c r="F453" s="240"/>
      <c r="G453" s="264"/>
      <c r="H453" s="152"/>
      <c r="I453" s="264"/>
      <c r="J453" s="152"/>
    </row>
    <row r="454" spans="1:10">
      <c r="A454" s="267"/>
      <c r="B454" s="250"/>
      <c r="C454" s="250" t="s">
        <v>1703</v>
      </c>
      <c r="D454" s="250"/>
      <c r="E454" s="240">
        <v>482</v>
      </c>
      <c r="F454" s="240"/>
      <c r="G454" s="264"/>
      <c r="H454" s="152"/>
      <c r="I454" s="264"/>
      <c r="J454" s="152"/>
    </row>
    <row r="455" spans="1:10">
      <c r="A455" s="267"/>
      <c r="B455" s="250"/>
      <c r="C455" s="250" t="s">
        <v>1704</v>
      </c>
      <c r="D455" s="250"/>
      <c r="E455" s="240">
        <v>1500</v>
      </c>
      <c r="F455" s="240"/>
      <c r="G455" s="264"/>
      <c r="H455" s="152"/>
      <c r="I455" s="264"/>
      <c r="J455" s="152"/>
    </row>
    <row r="456" spans="1:10">
      <c r="A456" s="267"/>
      <c r="B456" s="250"/>
      <c r="C456" s="250" t="s">
        <v>1705</v>
      </c>
      <c r="D456" s="250"/>
      <c r="E456" s="240">
        <v>1600</v>
      </c>
      <c r="F456" s="240"/>
      <c r="G456" s="264"/>
      <c r="H456" s="152"/>
      <c r="I456" s="264"/>
      <c r="J456" s="152"/>
    </row>
    <row r="457" spans="1:10">
      <c r="A457" s="267"/>
      <c r="B457" s="250"/>
      <c r="C457" s="250" t="s">
        <v>1706</v>
      </c>
      <c r="D457" s="250"/>
      <c r="E457" s="240">
        <v>313.5</v>
      </c>
      <c r="F457" s="240"/>
      <c r="G457" s="264"/>
      <c r="H457" s="152"/>
      <c r="I457" s="264"/>
      <c r="J457" s="152"/>
    </row>
    <row r="458" spans="1:10">
      <c r="A458" s="267"/>
      <c r="B458" s="250"/>
      <c r="C458" s="250" t="s">
        <v>1707</v>
      </c>
      <c r="D458" s="250"/>
      <c r="E458" s="240">
        <v>2262</v>
      </c>
      <c r="F458" s="240"/>
      <c r="G458" s="264"/>
      <c r="H458" s="152"/>
      <c r="I458" s="264"/>
      <c r="J458" s="152"/>
    </row>
    <row r="459" spans="1:10">
      <c r="A459" s="267"/>
      <c r="B459" s="250"/>
      <c r="C459" s="250" t="s">
        <v>1708</v>
      </c>
      <c r="D459" s="250"/>
      <c r="E459" s="240">
        <v>1350</v>
      </c>
      <c r="F459" s="240"/>
      <c r="G459" s="264"/>
      <c r="H459" s="152"/>
      <c r="I459" s="264"/>
      <c r="J459" s="152"/>
    </row>
    <row r="460" spans="1:10">
      <c r="A460" s="267"/>
      <c r="B460" s="250"/>
      <c r="C460" s="250" t="s">
        <v>1709</v>
      </c>
      <c r="D460" s="250"/>
      <c r="E460" s="240">
        <v>1983</v>
      </c>
      <c r="F460" s="240"/>
      <c r="G460" s="264"/>
      <c r="H460" s="152"/>
      <c r="I460" s="264"/>
      <c r="J460" s="152"/>
    </row>
    <row r="461" spans="1:10">
      <c r="A461" s="267"/>
      <c r="B461" s="250"/>
      <c r="C461" s="250" t="s">
        <v>1710</v>
      </c>
      <c r="D461" s="250"/>
      <c r="E461" s="240">
        <v>1500</v>
      </c>
      <c r="F461" s="240"/>
      <c r="G461" s="264"/>
      <c r="H461" s="152"/>
      <c r="I461" s="264"/>
      <c r="J461" s="152"/>
    </row>
    <row r="462" spans="1:10">
      <c r="A462" s="267"/>
      <c r="B462" s="250"/>
      <c r="C462" s="250" t="s">
        <v>1711</v>
      </c>
      <c r="D462" s="250"/>
      <c r="E462" s="240">
        <v>1407</v>
      </c>
      <c r="F462" s="240"/>
      <c r="G462" s="264"/>
      <c r="H462" s="152"/>
      <c r="I462" s="264"/>
      <c r="J462" s="152"/>
    </row>
    <row r="463" spans="1:10">
      <c r="A463" s="267"/>
      <c r="B463" s="250"/>
      <c r="C463" s="250" t="s">
        <v>1712</v>
      </c>
      <c r="D463" s="250"/>
      <c r="E463" s="240">
        <v>1600</v>
      </c>
      <c r="F463" s="240"/>
      <c r="G463" s="264"/>
      <c r="H463" s="152"/>
      <c r="I463" s="264"/>
      <c r="J463" s="152"/>
    </row>
    <row r="464" spans="1:10">
      <c r="A464" s="267"/>
      <c r="B464" s="250"/>
      <c r="C464" s="250" t="s">
        <v>1713</v>
      </c>
      <c r="D464" s="250"/>
      <c r="E464" s="240">
        <v>1500</v>
      </c>
      <c r="F464" s="240"/>
      <c r="G464" s="264"/>
      <c r="H464" s="152"/>
      <c r="I464" s="264"/>
      <c r="J464" s="152"/>
    </row>
    <row r="465" spans="1:10">
      <c r="A465" s="267"/>
      <c r="B465" s="250"/>
      <c r="C465" s="250" t="s">
        <v>1714</v>
      </c>
      <c r="D465" s="250"/>
      <c r="E465" s="240">
        <v>3000</v>
      </c>
      <c r="F465" s="240"/>
      <c r="G465" s="264"/>
      <c r="H465" s="152"/>
      <c r="I465" s="264"/>
      <c r="J465" s="152"/>
    </row>
    <row r="466" spans="1:10">
      <c r="A466" s="267"/>
      <c r="B466" s="250"/>
      <c r="C466" s="250" t="s">
        <v>1715</v>
      </c>
      <c r="D466" s="250"/>
      <c r="E466" s="240">
        <v>383</v>
      </c>
      <c r="F466" s="240"/>
      <c r="G466" s="264"/>
      <c r="H466" s="152"/>
      <c r="I466" s="264"/>
      <c r="J466" s="152"/>
    </row>
    <row r="467" spans="1:10">
      <c r="A467" s="267"/>
      <c r="B467" s="250"/>
      <c r="C467" s="250" t="s">
        <v>1716</v>
      </c>
      <c r="D467" s="250"/>
      <c r="E467" s="240">
        <v>200</v>
      </c>
      <c r="F467" s="240"/>
      <c r="G467" s="264"/>
      <c r="H467" s="152"/>
      <c r="I467" s="264"/>
      <c r="J467" s="152"/>
    </row>
    <row r="468" spans="1:10">
      <c r="A468" s="267"/>
      <c r="B468" s="250"/>
      <c r="C468" s="250" t="s">
        <v>1717</v>
      </c>
      <c r="D468" s="250"/>
      <c r="E468" s="240">
        <v>1000</v>
      </c>
      <c r="F468" s="240"/>
      <c r="G468" s="264"/>
      <c r="H468" s="152"/>
      <c r="I468" s="264"/>
      <c r="J468" s="152"/>
    </row>
    <row r="469" spans="1:10">
      <c r="A469" s="267"/>
      <c r="B469" s="250"/>
      <c r="C469" s="250" t="s">
        <v>1718</v>
      </c>
      <c r="D469" s="250"/>
      <c r="E469" s="240">
        <v>1600</v>
      </c>
      <c r="F469" s="240"/>
      <c r="G469" s="264"/>
      <c r="H469" s="152"/>
      <c r="I469" s="264"/>
      <c r="J469" s="152"/>
    </row>
    <row r="470" spans="1:10">
      <c r="A470" s="267"/>
      <c r="B470" s="250"/>
      <c r="C470" s="250" t="s">
        <v>1719</v>
      </c>
      <c r="D470" s="250"/>
      <c r="E470" s="240">
        <v>3000</v>
      </c>
      <c r="F470" s="240"/>
      <c r="G470" s="264"/>
      <c r="H470" s="152"/>
      <c r="I470" s="264"/>
      <c r="J470" s="152"/>
    </row>
    <row r="471" spans="1:10">
      <c r="A471" s="267"/>
      <c r="B471" s="250"/>
      <c r="C471" s="250" t="s">
        <v>1066</v>
      </c>
      <c r="D471" s="250"/>
      <c r="E471" s="240">
        <v>200</v>
      </c>
      <c r="F471" s="240"/>
      <c r="G471" s="264"/>
      <c r="H471" s="152"/>
      <c r="I471" s="264"/>
      <c r="J471" s="152"/>
    </row>
    <row r="472" spans="1:10">
      <c r="A472" s="267"/>
      <c r="B472" s="250"/>
      <c r="C472" s="250" t="s">
        <v>1067</v>
      </c>
      <c r="D472" s="250"/>
      <c r="E472" s="240">
        <v>1532</v>
      </c>
      <c r="F472" s="240"/>
      <c r="G472" s="264"/>
      <c r="H472" s="152"/>
      <c r="I472" s="264"/>
      <c r="J472" s="152"/>
    </row>
    <row r="473" spans="1:10">
      <c r="A473" s="267"/>
      <c r="B473" s="250"/>
      <c r="C473" s="250" t="s">
        <v>1085</v>
      </c>
      <c r="D473" s="250"/>
      <c r="E473" s="240">
        <v>537.5</v>
      </c>
      <c r="F473" s="240"/>
      <c r="G473" s="264"/>
      <c r="H473" s="152"/>
      <c r="I473" s="264"/>
      <c r="J473" s="152"/>
    </row>
    <row r="474" spans="1:10">
      <c r="A474" s="267"/>
      <c r="B474" s="250"/>
      <c r="C474" s="250" t="s">
        <v>402</v>
      </c>
      <c r="D474" s="250"/>
      <c r="E474" s="240">
        <v>2500</v>
      </c>
      <c r="F474" s="240"/>
      <c r="G474" s="264"/>
      <c r="H474" s="152"/>
      <c r="I474" s="264"/>
      <c r="J474" s="152"/>
    </row>
    <row r="475" spans="1:10">
      <c r="A475" s="267"/>
      <c r="B475" s="250"/>
      <c r="C475" s="250" t="s">
        <v>403</v>
      </c>
      <c r="D475" s="250"/>
      <c r="E475" s="240">
        <v>877</v>
      </c>
      <c r="F475" s="240"/>
      <c r="G475" s="264"/>
      <c r="H475" s="152"/>
      <c r="I475" s="264"/>
      <c r="J475" s="152"/>
    </row>
    <row r="476" spans="1:10">
      <c r="A476" s="267"/>
      <c r="B476" s="250"/>
      <c r="C476" s="250" t="s">
        <v>374</v>
      </c>
      <c r="D476" s="250"/>
      <c r="E476" s="240">
        <v>1000</v>
      </c>
      <c r="F476" s="240"/>
      <c r="G476" s="264"/>
      <c r="H476" s="152"/>
      <c r="I476" s="264"/>
      <c r="J476" s="152"/>
    </row>
    <row r="477" spans="1:10">
      <c r="A477" s="267"/>
      <c r="B477" s="250"/>
      <c r="C477" s="250" t="s">
        <v>375</v>
      </c>
      <c r="D477" s="250"/>
      <c r="E477" s="240">
        <v>1000</v>
      </c>
      <c r="F477" s="240"/>
      <c r="G477" s="264"/>
      <c r="H477" s="152"/>
      <c r="I477" s="264"/>
      <c r="J477" s="152"/>
    </row>
    <row r="478" spans="1:10">
      <c r="A478" s="267"/>
      <c r="B478" s="250"/>
      <c r="C478" s="250" t="s">
        <v>521</v>
      </c>
      <c r="D478" s="250"/>
      <c r="E478" s="240">
        <v>1000</v>
      </c>
      <c r="F478" s="240"/>
      <c r="G478" s="264"/>
      <c r="H478" s="152"/>
      <c r="I478" s="264"/>
      <c r="J478" s="152"/>
    </row>
    <row r="479" spans="1:10">
      <c r="A479" s="267"/>
      <c r="B479" s="250"/>
      <c r="C479" s="250" t="s">
        <v>522</v>
      </c>
      <c r="D479" s="250"/>
      <c r="E479" s="240">
        <v>1285</v>
      </c>
      <c r="F479" s="240"/>
      <c r="G479" s="264"/>
      <c r="H479" s="152"/>
      <c r="I479" s="264"/>
      <c r="J479" s="152"/>
    </row>
    <row r="480" spans="1:10">
      <c r="A480" s="267"/>
      <c r="B480" s="250"/>
      <c r="C480" s="250" t="s">
        <v>523</v>
      </c>
      <c r="D480" s="250"/>
      <c r="E480" s="240">
        <v>1250</v>
      </c>
      <c r="F480" s="240"/>
      <c r="G480" s="264"/>
      <c r="H480" s="152"/>
      <c r="I480" s="264"/>
      <c r="J480" s="152"/>
    </row>
    <row r="481" spans="1:10">
      <c r="A481" s="267"/>
      <c r="B481" s="250"/>
      <c r="C481" s="250" t="s">
        <v>524</v>
      </c>
      <c r="D481" s="250"/>
      <c r="E481" s="240">
        <v>600</v>
      </c>
      <c r="F481" s="240"/>
      <c r="G481" s="264"/>
      <c r="H481" s="152"/>
      <c r="I481" s="264"/>
      <c r="J481" s="152"/>
    </row>
    <row r="482" spans="1:10">
      <c r="A482" s="267"/>
      <c r="B482" s="250"/>
      <c r="C482" s="250" t="s">
        <v>525</v>
      </c>
      <c r="D482" s="250"/>
      <c r="E482" s="240">
        <v>1028</v>
      </c>
      <c r="F482" s="240"/>
      <c r="G482" s="264"/>
      <c r="H482" s="152"/>
      <c r="I482" s="264"/>
      <c r="J482" s="152"/>
    </row>
    <row r="483" spans="1:10">
      <c r="A483" s="267"/>
      <c r="B483" s="250"/>
      <c r="C483" s="250" t="s">
        <v>526</v>
      </c>
      <c r="D483" s="250"/>
      <c r="E483" s="240">
        <v>1156</v>
      </c>
      <c r="F483" s="240"/>
      <c r="G483" s="264"/>
      <c r="H483" s="152"/>
      <c r="I483" s="264"/>
      <c r="J483" s="152"/>
    </row>
    <row r="484" spans="1:10">
      <c r="A484" s="267"/>
      <c r="B484" s="250"/>
      <c r="C484" s="250" t="s">
        <v>549</v>
      </c>
      <c r="D484" s="250"/>
      <c r="E484" s="240">
        <v>1000</v>
      </c>
      <c r="F484" s="240"/>
      <c r="G484" s="264"/>
      <c r="H484" s="152"/>
      <c r="I484" s="264"/>
      <c r="J484" s="152"/>
    </row>
    <row r="485" spans="1:10">
      <c r="A485" s="267"/>
      <c r="B485" s="250"/>
      <c r="C485" s="250" t="s">
        <v>550</v>
      </c>
      <c r="D485" s="250"/>
      <c r="E485" s="240">
        <v>313.5</v>
      </c>
      <c r="F485" s="240"/>
      <c r="G485" s="264"/>
      <c r="H485" s="240"/>
      <c r="I485" s="264"/>
      <c r="J485" s="152"/>
    </row>
    <row r="486" spans="1:10">
      <c r="A486" s="267"/>
      <c r="B486" s="250"/>
      <c r="C486" s="250" t="s">
        <v>2081</v>
      </c>
      <c r="D486" s="250"/>
      <c r="E486" s="240">
        <v>600</v>
      </c>
      <c r="F486" s="240"/>
      <c r="G486" s="264"/>
      <c r="H486" s="152"/>
      <c r="I486" s="264"/>
      <c r="J486" s="152"/>
    </row>
    <row r="487" spans="1:10">
      <c r="A487" s="267"/>
      <c r="B487" s="250"/>
      <c r="C487" s="250" t="s">
        <v>2082</v>
      </c>
      <c r="D487" s="250"/>
      <c r="E487" s="240">
        <v>1700</v>
      </c>
      <c r="F487" s="240"/>
      <c r="G487" s="264"/>
      <c r="H487" s="152"/>
      <c r="I487" s="264"/>
      <c r="J487" s="152"/>
    </row>
    <row r="488" spans="1:10">
      <c r="A488" s="267"/>
      <c r="B488" s="250"/>
      <c r="C488" s="250" t="s">
        <v>2083</v>
      </c>
      <c r="D488" s="250"/>
      <c r="E488" s="240">
        <v>628</v>
      </c>
      <c r="F488" s="240"/>
      <c r="G488" s="264"/>
      <c r="H488" s="152"/>
      <c r="I488" s="264"/>
      <c r="J488" s="152"/>
    </row>
    <row r="489" spans="1:10">
      <c r="A489" s="267"/>
      <c r="B489" s="250"/>
      <c r="C489" s="250" t="s">
        <v>551</v>
      </c>
      <c r="D489" s="250"/>
      <c r="E489" s="240">
        <v>1000</v>
      </c>
      <c r="F489" s="240"/>
      <c r="G489" s="264"/>
      <c r="H489" s="152"/>
      <c r="I489" s="264"/>
      <c r="J489" s="152"/>
    </row>
    <row r="490" spans="1:10">
      <c r="A490" s="267"/>
      <c r="B490" s="250"/>
      <c r="C490" s="250" t="s">
        <v>552</v>
      </c>
      <c r="D490" s="250"/>
      <c r="E490" s="240">
        <v>1000</v>
      </c>
      <c r="F490" s="240"/>
      <c r="G490" s="264"/>
      <c r="H490" s="152"/>
      <c r="I490" s="264"/>
      <c r="J490" s="152"/>
    </row>
    <row r="491" spans="1:10">
      <c r="A491" s="267"/>
      <c r="B491" s="250"/>
      <c r="C491" s="250" t="s">
        <v>553</v>
      </c>
      <c r="D491" s="250"/>
      <c r="E491" s="240">
        <v>1000</v>
      </c>
      <c r="F491" s="240"/>
      <c r="G491" s="264"/>
      <c r="H491" s="152"/>
      <c r="I491" s="264"/>
      <c r="J491" s="152"/>
    </row>
    <row r="492" spans="1:10">
      <c r="A492" s="267"/>
      <c r="B492" s="250"/>
      <c r="C492" s="250" t="s">
        <v>554</v>
      </c>
      <c r="D492" s="250"/>
      <c r="E492" s="240">
        <v>500</v>
      </c>
      <c r="F492" s="240"/>
      <c r="G492" s="264"/>
      <c r="H492" s="152"/>
      <c r="I492" s="264"/>
      <c r="J492" s="152"/>
    </row>
    <row r="493" spans="1:10">
      <c r="A493" s="267"/>
      <c r="B493" s="250"/>
      <c r="C493" s="250" t="s">
        <v>555</v>
      </c>
      <c r="D493" s="250"/>
      <c r="E493" s="240">
        <v>1400</v>
      </c>
      <c r="F493" s="240"/>
      <c r="G493" s="264"/>
      <c r="H493" s="152"/>
      <c r="I493" s="264"/>
      <c r="J493" s="152"/>
    </row>
    <row r="494" spans="1:10">
      <c r="A494" s="267"/>
      <c r="B494" s="250"/>
      <c r="C494" s="250" t="s">
        <v>556</v>
      </c>
      <c r="D494" s="250"/>
      <c r="E494" s="240">
        <v>1000</v>
      </c>
      <c r="F494" s="240"/>
      <c r="G494" s="264"/>
      <c r="H494" s="152"/>
      <c r="I494" s="264"/>
      <c r="J494" s="152"/>
    </row>
    <row r="495" spans="1:10">
      <c r="A495" s="267"/>
      <c r="B495" s="250"/>
      <c r="C495" s="250" t="s">
        <v>557</v>
      </c>
      <c r="D495" s="250"/>
      <c r="E495" s="240">
        <v>885</v>
      </c>
      <c r="F495" s="240"/>
      <c r="G495" s="264"/>
      <c r="H495" s="152"/>
      <c r="I495" s="264"/>
      <c r="J495" s="152"/>
    </row>
    <row r="496" spans="1:10">
      <c r="A496" s="267"/>
      <c r="B496" s="250"/>
      <c r="C496" s="250" t="s">
        <v>558</v>
      </c>
      <c r="D496" s="250"/>
      <c r="E496" s="240">
        <v>2000</v>
      </c>
      <c r="F496" s="240"/>
      <c r="G496" s="264"/>
      <c r="H496" s="152"/>
      <c r="I496" s="264"/>
      <c r="J496" s="152"/>
    </row>
    <row r="497" spans="1:10">
      <c r="A497" s="267"/>
      <c r="B497" s="250"/>
      <c r="C497" s="243" t="s">
        <v>559</v>
      </c>
      <c r="D497" s="243"/>
      <c r="E497" s="251">
        <v>30</v>
      </c>
      <c r="F497" s="240"/>
      <c r="G497" s="264"/>
      <c r="H497" s="152"/>
      <c r="I497" s="264"/>
      <c r="J497" s="152"/>
    </row>
    <row r="498" spans="1:10">
      <c r="A498" s="267"/>
      <c r="B498" s="250"/>
      <c r="C498" s="250" t="s">
        <v>560</v>
      </c>
      <c r="D498" s="250"/>
      <c r="E498" s="240">
        <v>300</v>
      </c>
      <c r="F498" s="240"/>
      <c r="G498" s="264"/>
      <c r="H498" s="152"/>
      <c r="I498" s="264"/>
      <c r="J498" s="152"/>
    </row>
    <row r="499" spans="1:10">
      <c r="A499" s="267"/>
      <c r="B499" s="250"/>
      <c r="C499" s="250" t="s">
        <v>561</v>
      </c>
      <c r="D499" s="250"/>
      <c r="E499" s="240">
        <v>1000</v>
      </c>
      <c r="F499" s="240"/>
      <c r="G499" s="264"/>
      <c r="H499" s="152"/>
      <c r="I499" s="264"/>
      <c r="J499" s="152"/>
    </row>
    <row r="500" spans="1:10">
      <c r="A500" s="267"/>
      <c r="B500" s="250"/>
      <c r="C500" s="250" t="s">
        <v>562</v>
      </c>
      <c r="D500" s="250"/>
      <c r="E500" s="240">
        <v>2072</v>
      </c>
      <c r="F500" s="240"/>
      <c r="G500" s="264"/>
      <c r="H500" s="152"/>
      <c r="I500" s="264"/>
      <c r="J500" s="152"/>
    </row>
    <row r="501" spans="1:10">
      <c r="A501" s="267"/>
      <c r="B501" s="250"/>
      <c r="C501" s="250" t="s">
        <v>563</v>
      </c>
      <c r="D501" s="250"/>
      <c r="E501" s="240">
        <v>1083</v>
      </c>
      <c r="F501" s="240"/>
      <c r="G501" s="264"/>
      <c r="H501" s="152"/>
      <c r="I501" s="264"/>
      <c r="J501" s="152"/>
    </row>
    <row r="502" spans="1:10">
      <c r="A502" s="267"/>
      <c r="B502" s="250"/>
      <c r="C502" s="250" t="s">
        <v>564</v>
      </c>
      <c r="D502" s="250"/>
      <c r="E502" s="240">
        <v>200</v>
      </c>
      <c r="F502" s="240"/>
      <c r="G502" s="264"/>
      <c r="H502" s="152"/>
      <c r="I502" s="264"/>
      <c r="J502" s="152"/>
    </row>
    <row r="503" spans="1:10">
      <c r="A503" s="267"/>
      <c r="B503" s="250"/>
      <c r="C503" s="250" t="s">
        <v>565</v>
      </c>
      <c r="D503" s="250"/>
      <c r="E503" s="240">
        <v>2288</v>
      </c>
      <c r="F503" s="240"/>
      <c r="G503" s="264"/>
      <c r="H503" s="152"/>
      <c r="I503" s="264"/>
      <c r="J503" s="152"/>
    </row>
    <row r="504" spans="1:10">
      <c r="A504" s="267"/>
      <c r="B504" s="250"/>
      <c r="C504" s="250" t="s">
        <v>566</v>
      </c>
      <c r="D504" s="250"/>
      <c r="E504" s="240">
        <v>1613</v>
      </c>
      <c r="F504" s="240"/>
      <c r="G504" s="264"/>
      <c r="H504" s="152"/>
      <c r="I504" s="264"/>
      <c r="J504" s="152"/>
    </row>
    <row r="505" spans="1:10">
      <c r="A505" s="267"/>
      <c r="B505" s="250"/>
      <c r="C505" s="250" t="s">
        <v>567</v>
      </c>
      <c r="D505" s="250"/>
      <c r="E505" s="240">
        <v>1500</v>
      </c>
      <c r="F505" s="240"/>
      <c r="G505" s="264"/>
      <c r="H505" s="152"/>
      <c r="I505" s="264"/>
      <c r="J505" s="152"/>
    </row>
    <row r="506" spans="1:10">
      <c r="A506" s="267"/>
      <c r="B506" s="250"/>
      <c r="C506" s="250" t="s">
        <v>568</v>
      </c>
      <c r="D506" s="250"/>
      <c r="E506" s="240">
        <v>383</v>
      </c>
      <c r="F506" s="240"/>
      <c r="G506" s="264"/>
      <c r="H506" s="152"/>
      <c r="I506" s="264"/>
      <c r="J506" s="152"/>
    </row>
    <row r="507" spans="1:10">
      <c r="A507" s="267"/>
      <c r="B507" s="250"/>
      <c r="C507" s="250" t="s">
        <v>569</v>
      </c>
      <c r="D507" s="250"/>
      <c r="E507" s="240">
        <v>1000</v>
      </c>
      <c r="F507" s="240"/>
      <c r="G507" s="264"/>
      <c r="H507" s="152"/>
      <c r="I507" s="264"/>
      <c r="J507" s="152"/>
    </row>
    <row r="508" spans="1:10">
      <c r="A508" s="267"/>
      <c r="B508" s="250"/>
      <c r="C508" s="250" t="s">
        <v>570</v>
      </c>
      <c r="D508" s="250"/>
      <c r="E508" s="240">
        <v>1900</v>
      </c>
      <c r="F508" s="240"/>
      <c r="G508" s="264"/>
      <c r="H508" s="152"/>
      <c r="I508" s="264"/>
      <c r="J508" s="152"/>
    </row>
    <row r="509" spans="1:10">
      <c r="A509" s="267"/>
      <c r="B509" s="250"/>
      <c r="C509" s="250" t="s">
        <v>571</v>
      </c>
      <c r="D509" s="250"/>
      <c r="E509" s="240">
        <v>300</v>
      </c>
      <c r="F509" s="240"/>
      <c r="G509" s="264"/>
      <c r="H509" s="152"/>
      <c r="I509" s="264"/>
      <c r="J509" s="152"/>
    </row>
    <row r="510" spans="1:10">
      <c r="A510" s="267"/>
      <c r="B510" s="250"/>
      <c r="C510" s="250" t="s">
        <v>572</v>
      </c>
      <c r="D510" s="250"/>
      <c r="E510" s="240">
        <v>1000</v>
      </c>
      <c r="F510" s="240"/>
      <c r="G510" s="264"/>
      <c r="H510" s="152"/>
      <c r="I510" s="264"/>
      <c r="J510" s="152"/>
    </row>
    <row r="511" spans="1:10">
      <c r="A511" s="267"/>
      <c r="B511" s="250"/>
      <c r="C511" s="250" t="s">
        <v>573</v>
      </c>
      <c r="D511" s="250"/>
      <c r="E511" s="240">
        <v>1750</v>
      </c>
      <c r="F511" s="240"/>
      <c r="G511" s="264"/>
      <c r="H511" s="152"/>
      <c r="I511" s="264"/>
      <c r="J511" s="152"/>
    </row>
    <row r="512" spans="1:10">
      <c r="A512" s="267"/>
      <c r="B512" s="250"/>
      <c r="C512" s="250" t="s">
        <v>574</v>
      </c>
      <c r="D512" s="250"/>
      <c r="E512" s="240">
        <v>3000</v>
      </c>
      <c r="F512" s="240"/>
      <c r="G512" s="264"/>
      <c r="H512" s="152"/>
      <c r="I512" s="264"/>
      <c r="J512" s="152"/>
    </row>
    <row r="513" spans="1:10">
      <c r="A513" s="267"/>
      <c r="B513" s="250"/>
      <c r="C513" s="250" t="s">
        <v>575</v>
      </c>
      <c r="D513" s="250"/>
      <c r="E513" s="240">
        <v>1000</v>
      </c>
      <c r="F513" s="240"/>
      <c r="G513" s="264"/>
      <c r="H513" s="152"/>
      <c r="I513" s="264"/>
      <c r="J513" s="152"/>
    </row>
    <row r="514" spans="1:10">
      <c r="A514" s="267"/>
      <c r="B514" s="250"/>
      <c r="C514" s="250" t="s">
        <v>576</v>
      </c>
      <c r="D514" s="250"/>
      <c r="E514" s="240">
        <v>2000</v>
      </c>
      <c r="F514" s="240"/>
      <c r="G514" s="264"/>
      <c r="H514" s="152"/>
      <c r="I514" s="264"/>
      <c r="J514" s="152"/>
    </row>
    <row r="515" spans="1:10">
      <c r="A515" s="267"/>
      <c r="B515" s="250"/>
      <c r="C515" s="250" t="s">
        <v>577</v>
      </c>
      <c r="D515" s="250"/>
      <c r="E515" s="240">
        <v>1729</v>
      </c>
      <c r="F515" s="240"/>
      <c r="G515" s="264"/>
      <c r="H515" s="152"/>
      <c r="I515" s="264"/>
      <c r="J515" s="152"/>
    </row>
    <row r="516" spans="1:10">
      <c r="A516" s="267"/>
      <c r="B516" s="250"/>
      <c r="C516" s="250" t="s">
        <v>578</v>
      </c>
      <c r="D516" s="250"/>
      <c r="E516" s="240">
        <v>500</v>
      </c>
      <c r="F516" s="240"/>
      <c r="G516" s="264"/>
      <c r="H516" s="152"/>
      <c r="I516" s="264"/>
      <c r="J516" s="152"/>
    </row>
    <row r="517" spans="1:10">
      <c r="A517" s="267"/>
      <c r="B517" s="250"/>
      <c r="C517" s="250" t="s">
        <v>579</v>
      </c>
      <c r="D517" s="250"/>
      <c r="E517" s="240">
        <v>300</v>
      </c>
      <c r="F517" s="240"/>
      <c r="G517" s="264"/>
      <c r="H517" s="152"/>
      <c r="I517" s="264"/>
      <c r="J517" s="152"/>
    </row>
    <row r="518" spans="1:10">
      <c r="A518" s="267"/>
      <c r="B518" s="250"/>
      <c r="C518" s="250" t="s">
        <v>580</v>
      </c>
      <c r="D518" s="250"/>
      <c r="E518" s="240">
        <v>1000</v>
      </c>
      <c r="F518" s="240"/>
      <c r="G518" s="264"/>
      <c r="H518" s="152"/>
      <c r="I518" s="264"/>
      <c r="J518" s="152"/>
    </row>
    <row r="519" spans="1:10">
      <c r="A519" s="267"/>
      <c r="B519" s="250"/>
      <c r="C519" s="250" t="s">
        <v>581</v>
      </c>
      <c r="D519" s="250"/>
      <c r="E519" s="240">
        <v>1315.5</v>
      </c>
      <c r="F519" s="240"/>
      <c r="G519" s="264"/>
      <c r="H519" s="152"/>
      <c r="I519" s="264"/>
      <c r="J519" s="152"/>
    </row>
    <row r="520" spans="1:10">
      <c r="A520" s="267"/>
      <c r="B520" s="250"/>
      <c r="C520" s="250" t="s">
        <v>582</v>
      </c>
      <c r="D520" s="250"/>
      <c r="E520" s="240">
        <v>500</v>
      </c>
      <c r="F520" s="240"/>
      <c r="G520" s="264"/>
      <c r="H520" s="152"/>
      <c r="I520" s="264"/>
      <c r="J520" s="152"/>
    </row>
    <row r="521" spans="1:10">
      <c r="A521" s="267"/>
      <c r="B521" s="250"/>
      <c r="C521" s="250" t="s">
        <v>583</v>
      </c>
      <c r="D521" s="250"/>
      <c r="E521" s="240">
        <v>1600</v>
      </c>
      <c r="F521" s="240"/>
      <c r="G521" s="264"/>
      <c r="H521" s="152"/>
      <c r="I521" s="264"/>
      <c r="J521" s="152"/>
    </row>
    <row r="522" spans="1:10">
      <c r="A522" s="267"/>
      <c r="B522" s="250"/>
      <c r="C522" s="250" t="s">
        <v>584</v>
      </c>
      <c r="D522" s="250"/>
      <c r="E522" s="240">
        <v>200</v>
      </c>
      <c r="F522" s="240"/>
      <c r="G522" s="264"/>
      <c r="H522" s="152"/>
      <c r="I522" s="264"/>
      <c r="J522" s="152"/>
    </row>
    <row r="523" spans="1:10">
      <c r="A523" s="267"/>
      <c r="B523" s="250"/>
      <c r="C523" s="250" t="s">
        <v>585</v>
      </c>
      <c r="D523" s="250"/>
      <c r="E523" s="240">
        <v>800</v>
      </c>
      <c r="F523" s="240"/>
      <c r="G523" s="264"/>
      <c r="H523" s="152"/>
      <c r="I523" s="264"/>
      <c r="J523" s="152"/>
    </row>
    <row r="524" spans="1:10">
      <c r="A524" s="267"/>
      <c r="B524" s="250"/>
      <c r="C524" s="250" t="s">
        <v>1899</v>
      </c>
      <c r="D524" s="250"/>
      <c r="E524" s="240">
        <v>1184</v>
      </c>
      <c r="F524" s="240"/>
      <c r="G524" s="264"/>
      <c r="H524" s="152"/>
      <c r="I524" s="264"/>
      <c r="J524" s="152"/>
    </row>
    <row r="525" spans="1:10">
      <c r="A525" s="267"/>
      <c r="B525" s="250"/>
      <c r="C525" s="250" t="s">
        <v>1900</v>
      </c>
      <c r="D525" s="250"/>
      <c r="E525" s="240">
        <v>3000</v>
      </c>
      <c r="F525" s="240"/>
      <c r="G525" s="264"/>
      <c r="H525" s="152"/>
      <c r="I525" s="264"/>
      <c r="J525" s="152"/>
    </row>
    <row r="526" spans="1:10">
      <c r="A526" s="267"/>
      <c r="B526" s="250"/>
      <c r="C526" s="250" t="s">
        <v>1901</v>
      </c>
      <c r="D526" s="250"/>
      <c r="E526" s="240">
        <v>1100</v>
      </c>
      <c r="F526" s="240"/>
      <c r="G526" s="264"/>
      <c r="H526" s="152"/>
      <c r="I526" s="264"/>
      <c r="J526" s="152"/>
    </row>
    <row r="527" spans="1:10">
      <c r="A527" s="267"/>
      <c r="B527" s="250"/>
      <c r="C527" s="250" t="s">
        <v>1902</v>
      </c>
      <c r="D527" s="250"/>
      <c r="E527" s="240">
        <v>640</v>
      </c>
      <c r="F527" s="240"/>
      <c r="G527" s="264"/>
      <c r="H527" s="152"/>
      <c r="I527" s="264"/>
      <c r="J527" s="152"/>
    </row>
    <row r="528" spans="1:10">
      <c r="A528" s="267"/>
      <c r="B528" s="250"/>
      <c r="C528" s="250" t="s">
        <v>1903</v>
      </c>
      <c r="D528" s="250"/>
      <c r="E528" s="240">
        <v>2500</v>
      </c>
      <c r="F528" s="240"/>
      <c r="G528" s="264"/>
      <c r="H528" s="152"/>
      <c r="I528" s="264"/>
      <c r="J528" s="152"/>
    </row>
    <row r="529" spans="1:10">
      <c r="A529" s="267"/>
      <c r="B529" s="250"/>
      <c r="C529" s="250" t="s">
        <v>1904</v>
      </c>
      <c r="D529" s="250"/>
      <c r="E529" s="240">
        <v>400</v>
      </c>
      <c r="F529" s="240"/>
      <c r="G529" s="264"/>
      <c r="H529" s="152"/>
      <c r="I529" s="264"/>
      <c r="J529" s="152"/>
    </row>
    <row r="530" spans="1:10">
      <c r="A530" s="267"/>
      <c r="B530" s="250"/>
      <c r="C530" s="250" t="s">
        <v>1905</v>
      </c>
      <c r="D530" s="250"/>
      <c r="E530" s="240">
        <v>1315</v>
      </c>
      <c r="F530" s="240"/>
      <c r="G530" s="264"/>
      <c r="H530" s="152"/>
      <c r="I530" s="264"/>
      <c r="J530" s="152"/>
    </row>
    <row r="531" spans="1:10">
      <c r="A531" s="267"/>
      <c r="B531" s="250"/>
      <c r="C531" s="250" t="s">
        <v>376</v>
      </c>
      <c r="D531" s="250"/>
      <c r="E531" s="240">
        <v>446.5</v>
      </c>
      <c r="F531" s="240"/>
      <c r="G531" s="264"/>
      <c r="H531" s="152"/>
      <c r="I531" s="264"/>
      <c r="J531" s="152"/>
    </row>
    <row r="532" spans="1:10">
      <c r="A532" s="267"/>
      <c r="B532" s="250"/>
      <c r="C532" s="250" t="s">
        <v>377</v>
      </c>
      <c r="D532" s="250"/>
      <c r="E532" s="240">
        <v>905</v>
      </c>
      <c r="F532" s="240"/>
      <c r="G532" s="264"/>
      <c r="H532" s="152"/>
      <c r="I532" s="264"/>
      <c r="J532" s="152"/>
    </row>
    <row r="533" spans="1:10">
      <c r="A533" s="267"/>
      <c r="B533" s="250"/>
      <c r="C533" s="250" t="s">
        <v>378</v>
      </c>
      <c r="D533" s="250"/>
      <c r="E533" s="240">
        <v>3000</v>
      </c>
      <c r="F533" s="240"/>
      <c r="G533" s="264"/>
      <c r="H533" s="152"/>
      <c r="I533" s="264"/>
      <c r="J533" s="152"/>
    </row>
    <row r="534" spans="1:10">
      <c r="A534" s="267"/>
      <c r="B534" s="250"/>
      <c r="C534" s="250" t="s">
        <v>379</v>
      </c>
      <c r="D534" s="250"/>
      <c r="E534" s="240">
        <v>293.5</v>
      </c>
      <c r="F534" s="240"/>
      <c r="G534" s="264"/>
      <c r="H534" s="152"/>
      <c r="I534" s="264"/>
      <c r="J534" s="152"/>
    </row>
    <row r="535" spans="1:10">
      <c r="A535" s="267"/>
      <c r="B535" s="250"/>
      <c r="C535" s="250" t="s">
        <v>380</v>
      </c>
      <c r="D535" s="250"/>
      <c r="E535" s="240">
        <v>766</v>
      </c>
      <c r="F535" s="240"/>
      <c r="G535" s="264"/>
      <c r="H535" s="152"/>
      <c r="I535" s="264"/>
      <c r="J535" s="152"/>
    </row>
    <row r="536" spans="1:10">
      <c r="A536" s="267"/>
      <c r="B536" s="250"/>
      <c r="C536" s="250" t="s">
        <v>381</v>
      </c>
      <c r="D536" s="250"/>
      <c r="E536" s="240">
        <v>200</v>
      </c>
      <c r="F536" s="240"/>
      <c r="G536" s="264"/>
      <c r="H536" s="152"/>
      <c r="I536" s="264"/>
      <c r="J536" s="152"/>
    </row>
    <row r="537" spans="1:10">
      <c r="A537" s="267"/>
      <c r="B537" s="250"/>
      <c r="C537" s="250" t="s">
        <v>382</v>
      </c>
      <c r="D537" s="250"/>
      <c r="E537" s="240">
        <v>754</v>
      </c>
      <c r="F537" s="240"/>
      <c r="G537" s="264"/>
      <c r="H537" s="152"/>
      <c r="I537" s="264"/>
      <c r="J537" s="152"/>
    </row>
    <row r="538" spans="1:10">
      <c r="A538" s="267"/>
      <c r="B538" s="250"/>
      <c r="C538" s="250" t="s">
        <v>383</v>
      </c>
      <c r="D538" s="250"/>
      <c r="E538" s="240">
        <v>100</v>
      </c>
      <c r="F538" s="240"/>
      <c r="G538" s="264"/>
      <c r="H538" s="152"/>
      <c r="I538" s="264"/>
      <c r="J538" s="152"/>
    </row>
    <row r="539" spans="1:10">
      <c r="A539" s="267"/>
      <c r="B539" s="250"/>
      <c r="C539" s="250" t="s">
        <v>384</v>
      </c>
      <c r="D539" s="250"/>
      <c r="E539" s="240">
        <v>892</v>
      </c>
      <c r="F539" s="240"/>
      <c r="G539" s="264"/>
      <c r="H539" s="152"/>
      <c r="I539" s="264"/>
      <c r="J539" s="152"/>
    </row>
    <row r="540" spans="1:10">
      <c r="A540" s="267"/>
      <c r="B540" s="250"/>
      <c r="C540" s="250" t="s">
        <v>385</v>
      </c>
      <c r="D540" s="250"/>
      <c r="E540" s="240">
        <v>3000</v>
      </c>
      <c r="F540" s="240"/>
      <c r="G540" s="264"/>
      <c r="H540" s="152"/>
      <c r="I540" s="264"/>
      <c r="J540" s="152"/>
    </row>
    <row r="541" spans="1:10">
      <c r="A541" s="267"/>
      <c r="B541" s="250"/>
      <c r="C541" s="250" t="s">
        <v>386</v>
      </c>
      <c r="D541" s="250"/>
      <c r="E541" s="240">
        <v>496</v>
      </c>
      <c r="F541" s="240"/>
      <c r="G541" s="264"/>
      <c r="H541" s="152"/>
      <c r="I541" s="264"/>
      <c r="J541" s="152"/>
    </row>
    <row r="542" spans="1:10">
      <c r="A542" s="267"/>
      <c r="B542" s="250"/>
      <c r="C542" s="250" t="s">
        <v>387</v>
      </c>
      <c r="D542" s="250"/>
      <c r="E542" s="240">
        <v>700</v>
      </c>
      <c r="F542" s="240"/>
      <c r="G542" s="264"/>
      <c r="H542" s="152"/>
      <c r="I542" s="264"/>
      <c r="J542" s="152"/>
    </row>
    <row r="543" spans="1:10">
      <c r="A543" s="267"/>
      <c r="B543" s="250"/>
      <c r="C543" s="250" t="s">
        <v>388</v>
      </c>
      <c r="D543" s="250"/>
      <c r="E543" s="240">
        <v>3000</v>
      </c>
      <c r="F543" s="240"/>
      <c r="G543" s="264"/>
      <c r="H543" s="152"/>
      <c r="I543" s="264"/>
      <c r="J543" s="152"/>
    </row>
    <row r="544" spans="1:10">
      <c r="A544" s="267"/>
      <c r="B544" s="250"/>
      <c r="C544" s="250" t="s">
        <v>389</v>
      </c>
      <c r="D544" s="250"/>
      <c r="E544" s="240">
        <v>1262.6500000000001</v>
      </c>
      <c r="F544" s="240"/>
      <c r="G544" s="264"/>
      <c r="H544" s="152"/>
      <c r="I544" s="264"/>
      <c r="J544" s="152"/>
    </row>
    <row r="545" spans="1:10">
      <c r="A545" s="267"/>
      <c r="B545" s="250"/>
      <c r="C545" s="250" t="s">
        <v>390</v>
      </c>
      <c r="D545" s="250"/>
      <c r="E545" s="240">
        <v>3000</v>
      </c>
      <c r="F545" s="240"/>
      <c r="G545" s="264"/>
      <c r="H545" s="152"/>
      <c r="I545" s="264"/>
      <c r="J545" s="152"/>
    </row>
    <row r="546" spans="1:10">
      <c r="A546" s="267"/>
      <c r="B546" s="250"/>
      <c r="C546" s="250" t="s">
        <v>1906</v>
      </c>
      <c r="D546" s="250"/>
      <c r="E546" s="240">
        <v>200</v>
      </c>
      <c r="F546" s="240"/>
      <c r="G546" s="264"/>
      <c r="H546" s="152"/>
      <c r="I546" s="264"/>
      <c r="J546" s="152"/>
    </row>
    <row r="547" spans="1:10">
      <c r="A547" s="267"/>
      <c r="B547" s="250"/>
      <c r="C547" s="250" t="s">
        <v>1907</v>
      </c>
      <c r="D547" s="250"/>
      <c r="E547" s="240">
        <v>1000</v>
      </c>
      <c r="F547" s="240"/>
      <c r="G547" s="264"/>
      <c r="H547" s="152"/>
      <c r="I547" s="264"/>
      <c r="J547" s="152"/>
    </row>
    <row r="548" spans="1:10">
      <c r="A548" s="267"/>
      <c r="B548" s="250"/>
      <c r="C548" s="250" t="s">
        <v>1908</v>
      </c>
      <c r="D548" s="250"/>
      <c r="E548" s="240">
        <v>397</v>
      </c>
      <c r="F548" s="240"/>
      <c r="G548" s="264"/>
      <c r="H548" s="152"/>
      <c r="I548" s="264"/>
      <c r="J548" s="152"/>
    </row>
    <row r="549" spans="1:10">
      <c r="A549" s="267"/>
      <c r="B549" s="250"/>
      <c r="C549" s="250" t="s">
        <v>1909</v>
      </c>
      <c r="D549" s="250"/>
      <c r="E549" s="240">
        <v>1000</v>
      </c>
      <c r="F549" s="240"/>
      <c r="G549" s="264"/>
      <c r="H549" s="152"/>
      <c r="I549" s="264"/>
      <c r="J549" s="152"/>
    </row>
    <row r="550" spans="1:10">
      <c r="A550" s="267"/>
      <c r="B550" s="250"/>
      <c r="C550" s="250" t="s">
        <v>1910</v>
      </c>
      <c r="D550" s="250"/>
      <c r="E550" s="240">
        <v>892</v>
      </c>
      <c r="F550" s="240"/>
      <c r="G550" s="264"/>
      <c r="H550" s="152"/>
      <c r="I550" s="264"/>
      <c r="J550" s="152"/>
    </row>
    <row r="551" spans="1:10">
      <c r="A551" s="267"/>
      <c r="B551" s="250"/>
      <c r="C551" s="250" t="s">
        <v>1911</v>
      </c>
      <c r="D551" s="250"/>
      <c r="E551" s="240">
        <v>618</v>
      </c>
      <c r="F551" s="240"/>
      <c r="G551" s="264"/>
      <c r="H551" s="152"/>
      <c r="I551" s="264"/>
      <c r="J551" s="152"/>
    </row>
    <row r="552" spans="1:10">
      <c r="A552" s="267"/>
      <c r="B552" s="250"/>
      <c r="C552" s="250" t="s">
        <v>1912</v>
      </c>
      <c r="D552" s="250"/>
      <c r="E552" s="240">
        <v>1000</v>
      </c>
      <c r="F552" s="240"/>
      <c r="G552" s="264"/>
      <c r="H552" s="152"/>
      <c r="I552" s="264"/>
      <c r="J552" s="152"/>
    </row>
    <row r="553" spans="1:10">
      <c r="A553" s="267"/>
      <c r="B553" s="250"/>
      <c r="C553" s="250" t="s">
        <v>1913</v>
      </c>
      <c r="D553" s="250"/>
      <c r="E553" s="240">
        <v>1000</v>
      </c>
      <c r="F553" s="240"/>
      <c r="G553" s="264"/>
      <c r="H553" s="152"/>
      <c r="I553" s="264"/>
      <c r="J553" s="152"/>
    </row>
    <row r="554" spans="1:10">
      <c r="A554" s="267"/>
      <c r="B554" s="250"/>
      <c r="C554" s="250" t="s">
        <v>1914</v>
      </c>
      <c r="D554" s="250"/>
      <c r="E554" s="240">
        <v>826</v>
      </c>
      <c r="F554" s="240"/>
      <c r="G554" s="264"/>
      <c r="H554" s="152"/>
      <c r="I554" s="264"/>
      <c r="J554" s="152"/>
    </row>
    <row r="555" spans="1:10">
      <c r="A555" s="267"/>
      <c r="B555" s="250"/>
      <c r="C555" s="250" t="s">
        <v>1915</v>
      </c>
      <c r="D555" s="250"/>
      <c r="E555" s="240">
        <v>500</v>
      </c>
      <c r="F555" s="240"/>
      <c r="G555" s="264"/>
      <c r="H555" s="152"/>
      <c r="I555" s="264"/>
      <c r="J555" s="152"/>
    </row>
    <row r="556" spans="1:10">
      <c r="A556" s="267"/>
      <c r="B556" s="250"/>
      <c r="C556" s="250" t="s">
        <v>1916</v>
      </c>
      <c r="D556" s="250"/>
      <c r="E556" s="240">
        <v>800</v>
      </c>
      <c r="F556" s="240"/>
      <c r="G556" s="264"/>
      <c r="H556" s="152"/>
      <c r="I556" s="264"/>
      <c r="J556" s="152"/>
    </row>
    <row r="557" spans="1:10">
      <c r="A557" s="267"/>
      <c r="B557" s="250"/>
      <c r="C557" s="250" t="s">
        <v>1917</v>
      </c>
      <c r="D557" s="250"/>
      <c r="E557" s="240">
        <v>1000</v>
      </c>
      <c r="F557" s="240"/>
      <c r="G557" s="264"/>
      <c r="H557" s="152"/>
      <c r="I557" s="264"/>
      <c r="J557" s="152"/>
    </row>
    <row r="558" spans="1:10">
      <c r="A558" s="267"/>
      <c r="B558" s="250"/>
      <c r="C558" s="250" t="s">
        <v>1918</v>
      </c>
      <c r="D558" s="250"/>
      <c r="E558" s="240">
        <v>1107</v>
      </c>
      <c r="F558" s="240"/>
      <c r="G558" s="264"/>
      <c r="H558" s="152"/>
      <c r="I558" s="264"/>
      <c r="J558" s="152"/>
    </row>
    <row r="559" spans="1:10">
      <c r="A559" s="267"/>
      <c r="B559" s="250"/>
      <c r="C559" s="250" t="s">
        <v>1919</v>
      </c>
      <c r="D559" s="250"/>
      <c r="E559" s="240">
        <v>3000</v>
      </c>
      <c r="F559" s="240"/>
      <c r="G559" s="264"/>
      <c r="H559" s="152"/>
      <c r="I559" s="264"/>
      <c r="J559" s="152"/>
    </row>
    <row r="560" spans="1:10">
      <c r="A560" s="267"/>
      <c r="B560" s="250"/>
      <c r="C560" s="250" t="s">
        <v>1920</v>
      </c>
      <c r="D560" s="250"/>
      <c r="E560" s="240">
        <v>546.5</v>
      </c>
      <c r="F560" s="240"/>
      <c r="G560" s="264"/>
      <c r="H560" s="240"/>
      <c r="I560" s="264"/>
      <c r="J560" s="152"/>
    </row>
    <row r="561" spans="1:10">
      <c r="A561" s="267"/>
      <c r="B561" s="250"/>
      <c r="C561" s="250" t="s">
        <v>470</v>
      </c>
      <c r="D561" s="250"/>
      <c r="E561" s="240">
        <v>973</v>
      </c>
      <c r="F561" s="240"/>
      <c r="G561" s="264"/>
      <c r="H561" s="152"/>
      <c r="I561" s="264"/>
      <c r="J561" s="152"/>
    </row>
    <row r="562" spans="1:10">
      <c r="A562" s="267"/>
      <c r="B562" s="250"/>
      <c r="C562" s="250" t="s">
        <v>471</v>
      </c>
      <c r="D562" s="250"/>
      <c r="E562" s="240">
        <v>3000</v>
      </c>
      <c r="F562" s="240"/>
      <c r="G562" s="264"/>
      <c r="H562" s="152"/>
      <c r="I562" s="264"/>
      <c r="J562" s="152"/>
    </row>
    <row r="563" spans="1:10">
      <c r="A563" s="267"/>
      <c r="B563" s="250"/>
      <c r="C563" s="250" t="s">
        <v>1924</v>
      </c>
      <c r="D563" s="250"/>
      <c r="E563" s="240">
        <v>1000</v>
      </c>
      <c r="F563" s="240"/>
      <c r="G563" s="264"/>
      <c r="H563" s="152"/>
      <c r="I563" s="264"/>
      <c r="J563" s="152"/>
    </row>
    <row r="564" spans="1:10">
      <c r="A564" s="267"/>
      <c r="B564" s="250"/>
      <c r="C564" s="250" t="s">
        <v>1925</v>
      </c>
      <c r="D564" s="250"/>
      <c r="E564" s="240">
        <v>300</v>
      </c>
      <c r="F564" s="240"/>
      <c r="G564" s="264"/>
      <c r="H564" s="152"/>
      <c r="I564" s="264"/>
      <c r="J564" s="152"/>
    </row>
    <row r="565" spans="1:10">
      <c r="A565" s="267"/>
      <c r="B565" s="250"/>
      <c r="C565" s="250" t="s">
        <v>1926</v>
      </c>
      <c r="D565" s="250"/>
      <c r="E565" s="240">
        <v>1600</v>
      </c>
      <c r="F565" s="240"/>
      <c r="G565" s="264"/>
      <c r="H565" s="152"/>
      <c r="I565" s="264"/>
      <c r="J565" s="152"/>
    </row>
    <row r="566" spans="1:10">
      <c r="A566" s="267"/>
      <c r="B566" s="250"/>
      <c r="C566" s="250" t="s">
        <v>1927</v>
      </c>
      <c r="D566" s="250"/>
      <c r="E566" s="240">
        <v>1107</v>
      </c>
      <c r="F566" s="240"/>
      <c r="G566" s="264"/>
      <c r="H566" s="152"/>
      <c r="I566" s="264"/>
      <c r="J566" s="152"/>
    </row>
    <row r="567" spans="1:10" hidden="1">
      <c r="A567" s="267"/>
      <c r="B567" s="250"/>
      <c r="C567" s="243" t="s">
        <v>1928</v>
      </c>
      <c r="D567" s="250"/>
      <c r="E567" s="240">
        <f>2000-2000</f>
        <v>0</v>
      </c>
      <c r="F567" s="240"/>
      <c r="G567" s="264"/>
      <c r="H567" s="152"/>
      <c r="I567" s="264"/>
      <c r="J567" s="152"/>
    </row>
    <row r="568" spans="1:10">
      <c r="A568" s="267"/>
      <c r="B568" s="250"/>
      <c r="C568" s="250" t="s">
        <v>1929</v>
      </c>
      <c r="D568" s="250"/>
      <c r="E568" s="240">
        <v>1500</v>
      </c>
      <c r="F568" s="240"/>
      <c r="G568" s="264"/>
      <c r="H568" s="152"/>
      <c r="I568" s="264"/>
      <c r="J568" s="152"/>
    </row>
    <row r="569" spans="1:10">
      <c r="A569" s="267"/>
      <c r="B569" s="250"/>
      <c r="C569" s="250" t="s">
        <v>1930</v>
      </c>
      <c r="D569" s="250"/>
      <c r="E569" s="240">
        <v>1491</v>
      </c>
      <c r="F569" s="240"/>
      <c r="G569" s="264"/>
      <c r="H569" s="152"/>
      <c r="I569" s="264"/>
      <c r="J569" s="152"/>
    </row>
    <row r="570" spans="1:10">
      <c r="A570" s="267"/>
      <c r="B570" s="250"/>
      <c r="C570" s="250" t="s">
        <v>1931</v>
      </c>
      <c r="D570" s="250"/>
      <c r="E570" s="240">
        <v>1279</v>
      </c>
      <c r="F570" s="240"/>
      <c r="G570" s="264"/>
      <c r="H570" s="152"/>
      <c r="I570" s="264"/>
      <c r="J570" s="152"/>
    </row>
    <row r="571" spans="1:10">
      <c r="A571" s="267"/>
      <c r="B571" s="250"/>
      <c r="C571" s="250" t="s">
        <v>1932</v>
      </c>
      <c r="D571" s="250"/>
      <c r="E571" s="240">
        <v>559</v>
      </c>
      <c r="F571" s="240"/>
      <c r="G571" s="264"/>
      <c r="H571" s="152"/>
      <c r="I571" s="264"/>
      <c r="J571" s="152"/>
    </row>
    <row r="572" spans="1:10">
      <c r="A572" s="267"/>
      <c r="B572" s="250"/>
      <c r="C572" s="250" t="s">
        <v>1933</v>
      </c>
      <c r="D572" s="250"/>
      <c r="E572" s="240">
        <v>2860</v>
      </c>
      <c r="F572" s="240"/>
      <c r="G572" s="264"/>
      <c r="H572" s="152"/>
      <c r="I572" s="264"/>
      <c r="J572" s="152"/>
    </row>
    <row r="573" spans="1:10">
      <c r="A573" s="267"/>
      <c r="B573" s="250"/>
      <c r="C573" s="250" t="s">
        <v>1934</v>
      </c>
      <c r="D573" s="250"/>
      <c r="E573" s="240">
        <v>293.5</v>
      </c>
      <c r="F573" s="240"/>
      <c r="G573" s="264"/>
      <c r="H573" s="152"/>
      <c r="I573" s="264"/>
      <c r="J573" s="152"/>
    </row>
    <row r="574" spans="1:10">
      <c r="A574" s="267"/>
      <c r="B574" s="250"/>
      <c r="C574" s="250" t="s">
        <v>1935</v>
      </c>
      <c r="D574" s="250"/>
      <c r="E574" s="240">
        <v>2677.5</v>
      </c>
      <c r="F574" s="240"/>
      <c r="G574" s="264"/>
      <c r="H574" s="152"/>
      <c r="I574" s="264"/>
      <c r="J574" s="152"/>
    </row>
    <row r="575" spans="1:10">
      <c r="A575" s="267"/>
      <c r="B575" s="250"/>
      <c r="C575" s="250" t="s">
        <v>1936</v>
      </c>
      <c r="D575" s="250"/>
      <c r="E575" s="240">
        <v>1000</v>
      </c>
      <c r="F575" s="240"/>
      <c r="G575" s="264"/>
      <c r="H575" s="152"/>
      <c r="I575" s="264"/>
      <c r="J575" s="152"/>
    </row>
    <row r="576" spans="1:10">
      <c r="A576" s="267"/>
      <c r="B576" s="250"/>
      <c r="C576" s="250" t="s">
        <v>1937</v>
      </c>
      <c r="D576" s="250"/>
      <c r="E576" s="240">
        <v>956</v>
      </c>
      <c r="F576" s="240"/>
      <c r="G576" s="264"/>
      <c r="H576" s="152"/>
      <c r="I576" s="264"/>
      <c r="J576" s="152"/>
    </row>
    <row r="577" spans="1:10">
      <c r="A577" s="267"/>
      <c r="B577" s="250"/>
      <c r="C577" s="250" t="s">
        <v>1938</v>
      </c>
      <c r="D577" s="250"/>
      <c r="E577" s="240">
        <v>800</v>
      </c>
      <c r="F577" s="240"/>
      <c r="G577" s="264"/>
      <c r="H577" s="152"/>
      <c r="I577" s="264"/>
      <c r="J577" s="152"/>
    </row>
    <row r="578" spans="1:10">
      <c r="A578" s="267"/>
      <c r="B578" s="250"/>
      <c r="C578" s="250" t="s">
        <v>1939</v>
      </c>
      <c r="D578" s="250"/>
      <c r="E578" s="240">
        <v>1387</v>
      </c>
      <c r="F578" s="240"/>
      <c r="G578" s="264"/>
      <c r="H578" s="240"/>
      <c r="I578" s="264"/>
      <c r="J578" s="152"/>
    </row>
    <row r="579" spans="1:10">
      <c r="A579" s="267"/>
      <c r="B579" s="250"/>
      <c r="C579" s="250" t="s">
        <v>1940</v>
      </c>
      <c r="D579" s="250"/>
      <c r="E579" s="240">
        <v>1300</v>
      </c>
      <c r="F579" s="240"/>
      <c r="G579" s="264"/>
      <c r="H579" s="152"/>
      <c r="I579" s="264"/>
      <c r="J579" s="152"/>
    </row>
    <row r="580" spans="1:10">
      <c r="A580" s="267"/>
      <c r="B580" s="250"/>
      <c r="C580" s="250" t="s">
        <v>1941</v>
      </c>
      <c r="D580" s="250"/>
      <c r="E580" s="240">
        <v>690</v>
      </c>
      <c r="F580" s="240"/>
      <c r="G580" s="264"/>
      <c r="H580" s="152"/>
      <c r="I580" s="264"/>
      <c r="J580" s="152"/>
    </row>
    <row r="581" spans="1:10">
      <c r="A581" s="267"/>
      <c r="B581" s="250"/>
      <c r="C581" s="250" t="s">
        <v>1942</v>
      </c>
      <c r="D581" s="250"/>
      <c r="E581" s="240">
        <v>1107</v>
      </c>
      <c r="F581" s="240"/>
      <c r="G581" s="264"/>
      <c r="H581" s="152"/>
      <c r="I581" s="264"/>
      <c r="J581" s="152"/>
    </row>
    <row r="582" spans="1:10">
      <c r="A582" s="267"/>
      <c r="B582" s="250"/>
      <c r="C582" s="250" t="s">
        <v>1943</v>
      </c>
      <c r="D582" s="250"/>
      <c r="E582" s="240">
        <v>695</v>
      </c>
      <c r="F582" s="240"/>
      <c r="G582" s="264"/>
      <c r="H582" s="152"/>
      <c r="I582" s="264"/>
      <c r="J582" s="152"/>
    </row>
    <row r="583" spans="1:10">
      <c r="A583" s="267"/>
      <c r="B583" s="250"/>
      <c r="C583" s="250" t="s">
        <v>1944</v>
      </c>
      <c r="D583" s="250"/>
      <c r="E583" s="240">
        <v>1316</v>
      </c>
      <c r="F583" s="240"/>
      <c r="G583" s="264"/>
      <c r="H583" s="152"/>
      <c r="I583" s="264"/>
      <c r="J583" s="152"/>
    </row>
    <row r="584" spans="1:10">
      <c r="A584" s="267"/>
      <c r="B584" s="250"/>
      <c r="C584" s="250" t="s">
        <v>1945</v>
      </c>
      <c r="D584" s="250"/>
      <c r="E584" s="240">
        <v>1663</v>
      </c>
      <c r="F584" s="240"/>
      <c r="G584" s="264"/>
      <c r="H584" s="152"/>
      <c r="I584" s="264"/>
      <c r="J584" s="152"/>
    </row>
    <row r="585" spans="1:10">
      <c r="A585" s="267"/>
      <c r="B585" s="250"/>
      <c r="C585" s="250" t="s">
        <v>1946</v>
      </c>
      <c r="D585" s="250"/>
      <c r="E585" s="240">
        <v>756</v>
      </c>
      <c r="F585" s="240"/>
      <c r="G585" s="264"/>
      <c r="H585" s="152"/>
      <c r="I585" s="264"/>
      <c r="J585" s="152"/>
    </row>
    <row r="586" spans="1:10">
      <c r="A586" s="267"/>
      <c r="B586" s="250"/>
      <c r="C586" s="250" t="s">
        <v>1947</v>
      </c>
      <c r="D586" s="250"/>
      <c r="E586" s="240">
        <v>3000</v>
      </c>
      <c r="F586" s="240"/>
      <c r="G586" s="264"/>
      <c r="H586" s="152"/>
      <c r="I586" s="264"/>
      <c r="J586" s="152"/>
    </row>
    <row r="587" spans="1:10">
      <c r="A587" s="267"/>
      <c r="B587" s="250"/>
      <c r="C587" s="250" t="s">
        <v>1948</v>
      </c>
      <c r="D587" s="250"/>
      <c r="E587" s="240">
        <v>822</v>
      </c>
      <c r="F587" s="240"/>
      <c r="G587" s="264"/>
      <c r="H587" s="152"/>
      <c r="I587" s="264"/>
      <c r="J587" s="152"/>
    </row>
    <row r="588" spans="1:10">
      <c r="A588" s="267"/>
      <c r="B588" s="250"/>
      <c r="C588" s="250" t="s">
        <v>1949</v>
      </c>
      <c r="D588" s="250"/>
      <c r="E588" s="240">
        <v>1500</v>
      </c>
      <c r="F588" s="240"/>
      <c r="G588" s="264"/>
      <c r="H588" s="152"/>
      <c r="I588" s="264"/>
      <c r="J588" s="152"/>
    </row>
    <row r="589" spans="1:10">
      <c r="A589" s="267"/>
      <c r="B589" s="250"/>
      <c r="C589" s="250" t="s">
        <v>1950</v>
      </c>
      <c r="D589" s="250"/>
      <c r="E589" s="240">
        <v>2692</v>
      </c>
      <c r="F589" s="240"/>
      <c r="G589" s="264"/>
      <c r="H589" s="152"/>
      <c r="I589" s="264"/>
      <c r="J589" s="152"/>
    </row>
    <row r="590" spans="1:10">
      <c r="A590" s="267"/>
      <c r="B590" s="250"/>
      <c r="C590" s="250" t="s">
        <v>1951</v>
      </c>
      <c r="D590" s="250"/>
      <c r="E590" s="240">
        <v>1000</v>
      </c>
      <c r="F590" s="240"/>
      <c r="G590" s="264"/>
      <c r="H590" s="152"/>
      <c r="I590" s="264"/>
      <c r="J590" s="152"/>
    </row>
    <row r="591" spans="1:10">
      <c r="A591" s="267"/>
      <c r="B591" s="250"/>
      <c r="C591" s="250" t="s">
        <v>1952</v>
      </c>
      <c r="D591" s="250"/>
      <c r="E591" s="240">
        <v>500</v>
      </c>
      <c r="F591" s="240"/>
      <c r="G591" s="264"/>
      <c r="H591" s="152"/>
      <c r="I591" s="264"/>
      <c r="J591" s="152"/>
    </row>
    <row r="592" spans="1:10">
      <c r="A592" s="267"/>
      <c r="B592" s="250"/>
      <c r="C592" s="250" t="s">
        <v>1953</v>
      </c>
      <c r="D592" s="250"/>
      <c r="E592" s="240">
        <v>1474</v>
      </c>
      <c r="F592" s="240"/>
      <c r="G592" s="264"/>
      <c r="H592" s="240"/>
      <c r="I592" s="264"/>
      <c r="J592" s="152"/>
    </row>
    <row r="593" spans="1:10">
      <c r="A593" s="267"/>
      <c r="B593" s="250"/>
      <c r="C593" s="250" t="s">
        <v>1954</v>
      </c>
      <c r="D593" s="250"/>
      <c r="E593" s="240">
        <v>200</v>
      </c>
      <c r="F593" s="240"/>
      <c r="G593" s="264"/>
      <c r="H593" s="152"/>
      <c r="I593" s="264"/>
      <c r="J593" s="152"/>
    </row>
    <row r="594" spans="1:10">
      <c r="A594" s="267"/>
      <c r="B594" s="250"/>
      <c r="C594" s="250" t="s">
        <v>1955</v>
      </c>
      <c r="D594" s="250"/>
      <c r="E594" s="240">
        <v>1100</v>
      </c>
      <c r="F594" s="240"/>
      <c r="G594" s="264"/>
      <c r="H594" s="152"/>
      <c r="I594" s="264"/>
      <c r="J594" s="152"/>
    </row>
    <row r="595" spans="1:10">
      <c r="A595" s="267"/>
      <c r="B595" s="250"/>
      <c r="C595" s="250" t="s">
        <v>1956</v>
      </c>
      <c r="D595" s="250"/>
      <c r="E595" s="240">
        <v>1288</v>
      </c>
      <c r="F595" s="240"/>
      <c r="G595" s="264"/>
      <c r="H595" s="152"/>
      <c r="I595" s="264"/>
      <c r="J595" s="152"/>
    </row>
    <row r="596" spans="1:10">
      <c r="A596" s="267"/>
      <c r="B596" s="250"/>
      <c r="C596" s="250" t="s">
        <v>1957</v>
      </c>
      <c r="D596" s="250"/>
      <c r="E596" s="240">
        <v>2000</v>
      </c>
      <c r="F596" s="240"/>
      <c r="G596" s="264"/>
      <c r="H596" s="152"/>
      <c r="I596" s="264"/>
      <c r="J596" s="152"/>
    </row>
    <row r="597" spans="1:10">
      <c r="A597" s="267"/>
      <c r="B597" s="250"/>
      <c r="C597" s="250" t="s">
        <v>1958</v>
      </c>
      <c r="D597" s="250"/>
      <c r="E597" s="240">
        <v>1000</v>
      </c>
      <c r="F597" s="240"/>
      <c r="G597" s="264"/>
      <c r="H597" s="152"/>
      <c r="I597" s="264"/>
      <c r="J597" s="152"/>
    </row>
    <row r="598" spans="1:10">
      <c r="A598" s="267"/>
      <c r="B598" s="250"/>
      <c r="C598" s="250" t="s">
        <v>1959</v>
      </c>
      <c r="D598" s="250"/>
      <c r="E598" s="240">
        <v>655</v>
      </c>
      <c r="F598" s="240"/>
      <c r="G598" s="264"/>
      <c r="H598" s="152"/>
      <c r="I598" s="264"/>
      <c r="J598" s="152"/>
    </row>
    <row r="599" spans="1:10">
      <c r="A599" s="267"/>
      <c r="B599" s="250"/>
      <c r="C599" s="250" t="s">
        <v>1960</v>
      </c>
      <c r="D599" s="250"/>
      <c r="E599" s="240">
        <v>1000</v>
      </c>
      <c r="F599" s="240"/>
      <c r="G599" s="264"/>
      <c r="H599" s="152"/>
      <c r="I599" s="264"/>
      <c r="J599" s="152"/>
    </row>
    <row r="600" spans="1:10">
      <c r="A600" s="267"/>
      <c r="B600" s="250"/>
      <c r="C600" s="250" t="s">
        <v>1961</v>
      </c>
      <c r="D600" s="250"/>
      <c r="E600" s="240">
        <v>766</v>
      </c>
      <c r="F600" s="240"/>
      <c r="G600" s="264"/>
      <c r="H600" s="152"/>
      <c r="I600" s="264"/>
      <c r="J600" s="152"/>
    </row>
    <row r="601" spans="1:10">
      <c r="A601" s="267"/>
      <c r="B601" s="250"/>
      <c r="C601" s="255" t="s">
        <v>1962</v>
      </c>
      <c r="D601" s="255"/>
      <c r="E601" s="290">
        <v>0.05</v>
      </c>
      <c r="F601" s="240"/>
      <c r="G601" s="264"/>
      <c r="H601" s="152"/>
      <c r="I601" s="264"/>
      <c r="J601" s="152"/>
    </row>
    <row r="602" spans="1:10">
      <c r="A602" s="267"/>
      <c r="B602" s="250"/>
      <c r="C602" s="250" t="s">
        <v>1963</v>
      </c>
      <c r="D602" s="250"/>
      <c r="E602" s="240">
        <v>978.5</v>
      </c>
      <c r="F602" s="240"/>
      <c r="G602" s="264"/>
      <c r="H602" s="152"/>
      <c r="I602" s="264"/>
      <c r="J602" s="152"/>
    </row>
    <row r="603" spans="1:10">
      <c r="A603" s="267"/>
      <c r="B603" s="250"/>
      <c r="C603" s="250" t="s">
        <v>1964</v>
      </c>
      <c r="D603" s="250"/>
      <c r="E603" s="240">
        <v>1900</v>
      </c>
      <c r="F603" s="240"/>
      <c r="G603" s="264"/>
      <c r="H603" s="152"/>
      <c r="I603" s="264"/>
      <c r="J603" s="152"/>
    </row>
    <row r="604" spans="1:10">
      <c r="A604" s="267"/>
      <c r="B604" s="250"/>
      <c r="C604" s="250" t="s">
        <v>1965</v>
      </c>
      <c r="D604" s="250"/>
      <c r="E604" s="240">
        <v>546.5</v>
      </c>
      <c r="F604" s="240"/>
      <c r="G604" s="264"/>
      <c r="H604" s="152"/>
      <c r="I604" s="264"/>
      <c r="J604" s="152"/>
    </row>
    <row r="605" spans="1:10">
      <c r="A605" s="267"/>
      <c r="B605" s="250"/>
      <c r="C605" s="250" t="s">
        <v>1966</v>
      </c>
      <c r="D605" s="250"/>
      <c r="E605" s="240">
        <v>550.5</v>
      </c>
      <c r="F605" s="240"/>
      <c r="G605" s="264"/>
      <c r="H605" s="152"/>
      <c r="I605" s="264"/>
      <c r="J605" s="152"/>
    </row>
    <row r="606" spans="1:10">
      <c r="A606" s="267"/>
      <c r="B606" s="250"/>
      <c r="C606" s="250" t="s">
        <v>1967</v>
      </c>
      <c r="D606" s="250"/>
      <c r="E606" s="240">
        <v>1315.5</v>
      </c>
      <c r="F606" s="240"/>
      <c r="G606" s="264"/>
      <c r="H606" s="152"/>
      <c r="I606" s="264"/>
      <c r="J606" s="152"/>
    </row>
    <row r="607" spans="1:10">
      <c r="A607" s="267"/>
      <c r="B607" s="250"/>
      <c r="C607" s="250" t="s">
        <v>1968</v>
      </c>
      <c r="D607" s="250"/>
      <c r="E607" s="240">
        <v>1000</v>
      </c>
      <c r="F607" s="240"/>
      <c r="G607" s="264"/>
      <c r="H607" s="152"/>
      <c r="I607" s="264"/>
      <c r="J607" s="152"/>
    </row>
    <row r="608" spans="1:10">
      <c r="A608" s="267"/>
      <c r="B608" s="250"/>
      <c r="C608" s="250" t="s">
        <v>1969</v>
      </c>
      <c r="D608" s="250"/>
      <c r="E608" s="240">
        <v>2300</v>
      </c>
      <c r="F608" s="240"/>
      <c r="G608" s="264"/>
      <c r="H608" s="152"/>
      <c r="I608" s="264"/>
      <c r="J608" s="152"/>
    </row>
    <row r="609" spans="1:10">
      <c r="A609" s="267"/>
      <c r="B609" s="250"/>
      <c r="C609" s="250" t="s">
        <v>1970</v>
      </c>
      <c r="D609" s="250"/>
      <c r="E609" s="240">
        <v>900</v>
      </c>
      <c r="F609" s="240"/>
      <c r="G609" s="264"/>
      <c r="H609" s="152"/>
      <c r="I609" s="264"/>
      <c r="J609" s="152"/>
    </row>
    <row r="610" spans="1:10">
      <c r="A610" s="267"/>
      <c r="B610" s="250"/>
      <c r="C610" s="250" t="s">
        <v>1971</v>
      </c>
      <c r="D610" s="250"/>
      <c r="E610" s="240">
        <v>500</v>
      </c>
      <c r="F610" s="240"/>
      <c r="G610" s="264"/>
      <c r="H610" s="152"/>
      <c r="I610" s="264"/>
      <c r="J610" s="152"/>
    </row>
    <row r="611" spans="1:10">
      <c r="A611" s="267"/>
      <c r="B611" s="250"/>
      <c r="C611" s="250" t="s">
        <v>1972</v>
      </c>
      <c r="D611" s="250"/>
      <c r="E611" s="240">
        <v>1090</v>
      </c>
      <c r="F611" s="240"/>
      <c r="G611" s="264"/>
      <c r="H611" s="152"/>
      <c r="I611" s="264"/>
      <c r="J611" s="152"/>
    </row>
    <row r="612" spans="1:10">
      <c r="A612" s="267"/>
      <c r="B612" s="250"/>
      <c r="C612" s="250" t="s">
        <v>1973</v>
      </c>
      <c r="D612" s="250"/>
      <c r="E612" s="240">
        <v>700</v>
      </c>
      <c r="F612" s="240"/>
      <c r="G612" s="264"/>
      <c r="H612" s="152"/>
      <c r="I612" s="264"/>
      <c r="J612" s="152"/>
    </row>
    <row r="613" spans="1:10">
      <c r="A613" s="267"/>
      <c r="B613" s="250"/>
      <c r="C613" s="250" t="s">
        <v>1974</v>
      </c>
      <c r="D613" s="250"/>
      <c r="E613" s="240">
        <v>1107</v>
      </c>
      <c r="F613" s="240"/>
      <c r="G613" s="264"/>
      <c r="H613" s="152"/>
      <c r="I613" s="264"/>
      <c r="J613" s="152"/>
    </row>
    <row r="614" spans="1:10">
      <c r="A614" s="267"/>
      <c r="B614" s="250"/>
      <c r="C614" s="250" t="s">
        <v>1975</v>
      </c>
      <c r="D614" s="250"/>
      <c r="E614" s="240">
        <v>2214</v>
      </c>
      <c r="F614" s="240"/>
      <c r="G614" s="264"/>
      <c r="H614" s="152"/>
      <c r="I614" s="264"/>
      <c r="J614" s="152"/>
    </row>
    <row r="615" spans="1:10">
      <c r="A615" s="267"/>
      <c r="B615" s="250"/>
      <c r="C615" s="250" t="s">
        <v>1976</v>
      </c>
      <c r="D615" s="250"/>
      <c r="E615" s="240">
        <v>850</v>
      </c>
      <c r="F615" s="240"/>
      <c r="G615" s="264"/>
      <c r="H615" s="152"/>
      <c r="I615" s="264"/>
      <c r="J615" s="152"/>
    </row>
    <row r="616" spans="1:10">
      <c r="A616" s="267"/>
      <c r="B616" s="250"/>
      <c r="C616" s="250" t="s">
        <v>1977</v>
      </c>
      <c r="D616" s="250"/>
      <c r="E616" s="240">
        <v>671</v>
      </c>
      <c r="F616" s="240"/>
      <c r="G616" s="264"/>
      <c r="H616" s="152"/>
      <c r="I616" s="264"/>
      <c r="J616" s="152"/>
    </row>
    <row r="617" spans="1:10">
      <c r="A617" s="267"/>
      <c r="B617" s="250"/>
      <c r="C617" s="250" t="s">
        <v>1978</v>
      </c>
      <c r="D617" s="250"/>
      <c r="E617" s="240">
        <v>540</v>
      </c>
      <c r="F617" s="240"/>
      <c r="G617" s="264"/>
      <c r="H617" s="152"/>
      <c r="I617" s="264"/>
      <c r="J617" s="152"/>
    </row>
    <row r="618" spans="1:10">
      <c r="A618" s="267"/>
      <c r="B618" s="250"/>
      <c r="C618" s="250" t="s">
        <v>1979</v>
      </c>
      <c r="D618" s="250"/>
      <c r="E618" s="240">
        <v>1500</v>
      </c>
      <c r="F618" s="240"/>
      <c r="G618" s="264"/>
      <c r="H618" s="152"/>
      <c r="I618" s="264"/>
      <c r="J618" s="152"/>
    </row>
    <row r="619" spans="1:10">
      <c r="A619" s="267"/>
      <c r="B619" s="250"/>
      <c r="C619" s="250" t="s">
        <v>528</v>
      </c>
      <c r="D619" s="250"/>
      <c r="E619" s="240">
        <v>1500</v>
      </c>
      <c r="F619" s="240"/>
      <c r="G619" s="264"/>
      <c r="H619" s="152"/>
      <c r="I619" s="264"/>
      <c r="J619" s="152"/>
    </row>
    <row r="620" spans="1:10">
      <c r="A620" s="267"/>
      <c r="B620" s="250"/>
      <c r="C620" s="250" t="s">
        <v>529</v>
      </c>
      <c r="D620" s="250"/>
      <c r="E620" s="240">
        <v>2203</v>
      </c>
      <c r="F620" s="240"/>
      <c r="G620" s="264"/>
      <c r="H620" s="152"/>
      <c r="I620" s="264"/>
      <c r="J620" s="152"/>
    </row>
    <row r="621" spans="1:10">
      <c r="A621" s="267"/>
      <c r="B621" s="250"/>
      <c r="C621" s="250" t="s">
        <v>530</v>
      </c>
      <c r="D621" s="250"/>
      <c r="E621" s="240">
        <v>1128</v>
      </c>
      <c r="F621" s="240"/>
      <c r="G621" s="264"/>
      <c r="H621" s="152"/>
      <c r="I621" s="264"/>
      <c r="J621" s="152"/>
    </row>
    <row r="622" spans="1:10">
      <c r="A622" s="267"/>
      <c r="B622" s="250"/>
      <c r="C622" s="250" t="s">
        <v>531</v>
      </c>
      <c r="D622" s="250"/>
      <c r="E622" s="240">
        <v>978.5</v>
      </c>
      <c r="F622" s="240"/>
      <c r="G622" s="264"/>
      <c r="H622" s="152"/>
      <c r="I622" s="264"/>
      <c r="J622" s="152"/>
    </row>
    <row r="623" spans="1:10">
      <c r="A623" s="267"/>
      <c r="B623" s="250"/>
      <c r="C623" s="250" t="s">
        <v>532</v>
      </c>
      <c r="D623" s="250"/>
      <c r="E623" s="240">
        <v>500</v>
      </c>
      <c r="F623" s="240"/>
      <c r="G623" s="264"/>
      <c r="H623" s="152"/>
      <c r="I623" s="264"/>
      <c r="J623" s="152"/>
    </row>
    <row r="624" spans="1:10">
      <c r="A624" s="267"/>
      <c r="B624" s="250"/>
      <c r="C624" s="250" t="s">
        <v>533</v>
      </c>
      <c r="D624" s="250"/>
      <c r="E624" s="240">
        <v>200</v>
      </c>
      <c r="F624" s="240"/>
      <c r="G624" s="264"/>
      <c r="H624" s="152"/>
      <c r="I624" s="264"/>
      <c r="J624" s="152"/>
    </row>
    <row r="625" spans="1:10">
      <c r="A625" s="267"/>
      <c r="B625" s="250"/>
      <c r="C625" s="250" t="s">
        <v>534</v>
      </c>
      <c r="D625" s="250"/>
      <c r="E625" s="240">
        <v>466</v>
      </c>
      <c r="F625" s="240"/>
      <c r="G625" s="264"/>
      <c r="H625" s="152"/>
      <c r="I625" s="264"/>
      <c r="J625" s="152"/>
    </row>
    <row r="626" spans="1:10">
      <c r="A626" s="267"/>
      <c r="B626" s="250"/>
      <c r="C626" s="250" t="s">
        <v>535</v>
      </c>
      <c r="D626" s="250"/>
      <c r="E626" s="240">
        <v>760</v>
      </c>
      <c r="F626" s="240"/>
      <c r="G626" s="264"/>
      <c r="H626" s="152"/>
      <c r="I626" s="264"/>
      <c r="J626" s="152"/>
    </row>
    <row r="627" spans="1:10">
      <c r="A627" s="267"/>
      <c r="B627" s="250"/>
      <c r="C627" s="250" t="s">
        <v>536</v>
      </c>
      <c r="D627" s="250"/>
      <c r="E627" s="240">
        <v>200</v>
      </c>
      <c r="F627" s="240"/>
      <c r="G627" s="264"/>
      <c r="H627" s="152"/>
      <c r="I627" s="264"/>
      <c r="J627" s="152"/>
    </row>
    <row r="628" spans="1:10">
      <c r="A628" s="267"/>
      <c r="B628" s="250"/>
      <c r="C628" s="250" t="s">
        <v>537</v>
      </c>
      <c r="D628" s="250"/>
      <c r="E628" s="240">
        <v>1000</v>
      </c>
      <c r="F628" s="240"/>
      <c r="G628" s="264"/>
      <c r="H628" s="152"/>
      <c r="I628" s="264"/>
      <c r="J628" s="152"/>
    </row>
    <row r="629" spans="1:10">
      <c r="A629" s="267"/>
      <c r="B629" s="250"/>
      <c r="C629" s="250" t="s">
        <v>538</v>
      </c>
      <c r="D629" s="250"/>
      <c r="E629" s="240">
        <v>1000</v>
      </c>
      <c r="F629" s="240"/>
      <c r="G629" s="264"/>
      <c r="H629" s="152"/>
      <c r="I629" s="264"/>
      <c r="J629" s="152"/>
    </row>
    <row r="630" spans="1:10">
      <c r="A630" s="267"/>
      <c r="B630" s="250"/>
      <c r="C630" s="250" t="s">
        <v>539</v>
      </c>
      <c r="D630" s="250"/>
      <c r="E630" s="240">
        <v>1065</v>
      </c>
      <c r="F630" s="240"/>
      <c r="G630" s="264"/>
      <c r="H630" s="152"/>
      <c r="I630" s="264"/>
      <c r="J630" s="152"/>
    </row>
    <row r="631" spans="1:10">
      <c r="A631" s="267"/>
      <c r="B631" s="250"/>
      <c r="C631" s="250" t="s">
        <v>540</v>
      </c>
      <c r="D631" s="250"/>
      <c r="E631" s="240">
        <v>250</v>
      </c>
      <c r="F631" s="240"/>
      <c r="G631" s="264"/>
      <c r="H631" s="152"/>
      <c r="I631" s="264"/>
      <c r="J631" s="152"/>
    </row>
    <row r="632" spans="1:10">
      <c r="A632" s="267"/>
      <c r="B632" s="250"/>
      <c r="C632" s="250" t="s">
        <v>541</v>
      </c>
      <c r="D632" s="250"/>
      <c r="E632" s="240">
        <v>3000</v>
      </c>
      <c r="F632" s="240"/>
      <c r="G632" s="264"/>
      <c r="H632" s="152"/>
      <c r="I632" s="264"/>
      <c r="J632" s="152"/>
    </row>
    <row r="633" spans="1:10">
      <c r="A633" s="267"/>
      <c r="B633" s="250"/>
      <c r="C633" s="250" t="s">
        <v>542</v>
      </c>
      <c r="D633" s="250"/>
      <c r="E633" s="240">
        <v>1107</v>
      </c>
      <c r="F633" s="240"/>
      <c r="G633" s="264"/>
      <c r="H633" s="152"/>
      <c r="I633" s="264"/>
      <c r="J633" s="152"/>
    </row>
    <row r="634" spans="1:10">
      <c r="A634" s="267"/>
      <c r="B634" s="250"/>
      <c r="C634" s="250" t="s">
        <v>543</v>
      </c>
      <c r="D634" s="250"/>
      <c r="E634" s="240">
        <v>3000</v>
      </c>
      <c r="F634" s="240"/>
      <c r="G634" s="264"/>
      <c r="H634" s="152"/>
      <c r="I634" s="264"/>
      <c r="J634" s="152"/>
    </row>
    <row r="635" spans="1:10">
      <c r="A635" s="267"/>
      <c r="B635" s="250"/>
      <c r="C635" s="250" t="s">
        <v>1987</v>
      </c>
      <c r="D635" s="250"/>
      <c r="E635" s="240">
        <v>2760</v>
      </c>
      <c r="F635" s="240"/>
      <c r="G635" s="264"/>
      <c r="H635" s="152"/>
      <c r="I635" s="264"/>
      <c r="J635" s="152"/>
    </row>
    <row r="636" spans="1:10">
      <c r="A636" s="267"/>
      <c r="B636" s="250"/>
      <c r="C636" s="250" t="s">
        <v>1988</v>
      </c>
      <c r="D636" s="250"/>
      <c r="E636" s="240">
        <v>3000</v>
      </c>
      <c r="F636" s="240"/>
      <c r="G636" s="264"/>
      <c r="H636" s="152"/>
      <c r="I636" s="264"/>
      <c r="J636" s="152"/>
    </row>
    <row r="637" spans="1:10">
      <c r="A637" s="267"/>
      <c r="B637" s="250"/>
      <c r="C637" s="250" t="s">
        <v>1989</v>
      </c>
      <c r="D637" s="250"/>
      <c r="E637" s="240">
        <v>800</v>
      </c>
      <c r="F637" s="240"/>
      <c r="G637" s="264"/>
      <c r="H637" s="152"/>
      <c r="I637" s="264"/>
      <c r="J637" s="152"/>
    </row>
    <row r="638" spans="1:10">
      <c r="A638" s="267"/>
      <c r="B638" s="250"/>
      <c r="C638" s="250" t="s">
        <v>1990</v>
      </c>
      <c r="D638" s="250"/>
      <c r="E638" s="240">
        <v>737</v>
      </c>
      <c r="F638" s="240"/>
      <c r="G638" s="264"/>
      <c r="H638" s="152"/>
      <c r="I638" s="264"/>
      <c r="J638" s="152"/>
    </row>
    <row r="639" spans="1:10">
      <c r="A639" s="267"/>
      <c r="B639" s="250"/>
      <c r="C639" s="250" t="s">
        <v>1991</v>
      </c>
      <c r="D639" s="250"/>
      <c r="E639" s="240">
        <v>300</v>
      </c>
      <c r="F639" s="240"/>
      <c r="G639" s="264"/>
      <c r="H639" s="152"/>
      <c r="I639" s="264"/>
      <c r="J639" s="152"/>
    </row>
    <row r="640" spans="1:10">
      <c r="A640" s="267"/>
      <c r="B640" s="250"/>
      <c r="C640" s="250" t="s">
        <v>1992</v>
      </c>
      <c r="D640" s="250"/>
      <c r="E640" s="240">
        <v>707</v>
      </c>
      <c r="F640" s="240"/>
      <c r="G640" s="264"/>
      <c r="H640" s="152"/>
      <c r="I640" s="264"/>
      <c r="J640" s="152"/>
    </row>
    <row r="641" spans="1:10">
      <c r="A641" s="267"/>
      <c r="B641" s="250"/>
      <c r="C641" s="250" t="s">
        <v>1993</v>
      </c>
      <c r="D641" s="250"/>
      <c r="E641" s="240">
        <v>1107</v>
      </c>
      <c r="F641" s="240"/>
      <c r="G641" s="264"/>
      <c r="H641" s="152"/>
      <c r="I641" s="264"/>
      <c r="J641" s="152"/>
    </row>
    <row r="642" spans="1:10">
      <c r="A642" s="267"/>
      <c r="B642" s="250"/>
      <c r="C642" s="250" t="s">
        <v>1994</v>
      </c>
      <c r="D642" s="250"/>
      <c r="E642" s="240">
        <v>2000</v>
      </c>
      <c r="F642" s="240"/>
      <c r="G642" s="264"/>
      <c r="H642" s="152"/>
      <c r="I642" s="264"/>
      <c r="J642" s="152"/>
    </row>
    <row r="643" spans="1:10">
      <c r="A643" s="267"/>
      <c r="B643" s="250"/>
      <c r="C643" s="250" t="s">
        <v>1995</v>
      </c>
      <c r="D643" s="250"/>
      <c r="E643" s="240">
        <v>996</v>
      </c>
      <c r="F643" s="240"/>
      <c r="G643" s="264"/>
      <c r="H643" s="152"/>
      <c r="I643" s="264"/>
      <c r="J643" s="152"/>
    </row>
    <row r="644" spans="1:10">
      <c r="A644" s="267"/>
      <c r="B644" s="250"/>
      <c r="C644" s="250" t="s">
        <v>1996</v>
      </c>
      <c r="D644" s="250"/>
      <c r="E644" s="240">
        <v>2194</v>
      </c>
      <c r="F644" s="240"/>
      <c r="G644" s="264"/>
      <c r="H644" s="152"/>
      <c r="I644" s="264"/>
      <c r="J644" s="152"/>
    </row>
    <row r="645" spans="1:10">
      <c r="A645" s="267"/>
      <c r="B645" s="250"/>
      <c r="C645" s="250" t="s">
        <v>1997</v>
      </c>
      <c r="D645" s="250"/>
      <c r="E645" s="240">
        <v>500</v>
      </c>
      <c r="F645" s="240"/>
      <c r="G645" s="264"/>
      <c r="H645" s="152"/>
      <c r="I645" s="264"/>
      <c r="J645" s="152"/>
    </row>
    <row r="646" spans="1:10">
      <c r="A646" s="267"/>
      <c r="B646" s="250"/>
      <c r="C646" s="250" t="s">
        <v>1998</v>
      </c>
      <c r="D646" s="250"/>
      <c r="E646" s="240">
        <v>800</v>
      </c>
      <c r="F646" s="240"/>
      <c r="G646" s="264"/>
      <c r="H646" s="152"/>
      <c r="I646" s="264"/>
      <c r="J646" s="152"/>
    </row>
    <row r="647" spans="1:10">
      <c r="A647" s="267"/>
      <c r="B647" s="250"/>
      <c r="C647" s="250" t="s">
        <v>1999</v>
      </c>
      <c r="D647" s="250"/>
      <c r="E647" s="240">
        <v>1820</v>
      </c>
      <c r="F647" s="240"/>
      <c r="G647" s="264"/>
      <c r="H647" s="152"/>
      <c r="I647" s="264"/>
      <c r="J647" s="152"/>
    </row>
    <row r="648" spans="1:10">
      <c r="A648" s="267"/>
      <c r="B648" s="250"/>
      <c r="C648" s="250" t="s">
        <v>2000</v>
      </c>
      <c r="D648" s="250"/>
      <c r="E648" s="240">
        <v>1000</v>
      </c>
      <c r="F648" s="240"/>
      <c r="G648" s="264"/>
      <c r="H648" s="152"/>
      <c r="I648" s="264"/>
      <c r="J648" s="152"/>
    </row>
    <row r="649" spans="1:10">
      <c r="A649" s="267"/>
      <c r="B649" s="250"/>
      <c r="C649" s="250" t="s">
        <v>2001</v>
      </c>
      <c r="D649" s="250"/>
      <c r="E649" s="240">
        <v>1500</v>
      </c>
      <c r="F649" s="240"/>
      <c r="G649" s="264"/>
      <c r="H649" s="152"/>
      <c r="I649" s="264"/>
      <c r="J649" s="152"/>
    </row>
    <row r="650" spans="1:10">
      <c r="A650" s="267"/>
      <c r="B650" s="250"/>
      <c r="C650" s="250" t="s">
        <v>2002</v>
      </c>
      <c r="D650" s="250"/>
      <c r="E650" s="240">
        <v>323</v>
      </c>
      <c r="F650" s="240"/>
      <c r="G650" s="264"/>
      <c r="H650" s="152"/>
      <c r="I650" s="264"/>
      <c r="J650" s="152"/>
    </row>
    <row r="651" spans="1:10">
      <c r="A651" s="267"/>
      <c r="B651" s="250"/>
      <c r="C651" s="250" t="s">
        <v>2003</v>
      </c>
      <c r="D651" s="250"/>
      <c r="E651" s="240">
        <v>1054</v>
      </c>
      <c r="F651" s="240"/>
      <c r="G651" s="264"/>
      <c r="H651" s="152"/>
      <c r="I651" s="264"/>
      <c r="J651" s="152"/>
    </row>
    <row r="652" spans="1:10">
      <c r="A652" s="267"/>
      <c r="B652" s="250"/>
      <c r="C652" s="250" t="s">
        <v>2004</v>
      </c>
      <c r="D652" s="250"/>
      <c r="E652" s="240">
        <v>2677.5</v>
      </c>
      <c r="F652" s="240"/>
      <c r="G652" s="264"/>
      <c r="H652" s="152"/>
      <c r="I652" s="264"/>
      <c r="J652" s="152"/>
    </row>
    <row r="653" spans="1:10">
      <c r="A653" s="267"/>
      <c r="B653" s="250"/>
      <c r="C653" s="250" t="s">
        <v>2035</v>
      </c>
      <c r="D653" s="250"/>
      <c r="E653" s="240">
        <v>1000</v>
      </c>
      <c r="F653" s="240"/>
      <c r="G653" s="264"/>
      <c r="H653" s="152"/>
      <c r="I653" s="264"/>
      <c r="J653" s="152"/>
    </row>
    <row r="654" spans="1:10">
      <c r="A654" s="267"/>
      <c r="B654" s="250"/>
      <c r="C654" s="250" t="s">
        <v>2036</v>
      </c>
      <c r="D654" s="250"/>
      <c r="E654" s="240">
        <v>537</v>
      </c>
      <c r="F654" s="240"/>
      <c r="G654" s="264"/>
      <c r="H654" s="152"/>
      <c r="I654" s="264"/>
      <c r="J654" s="152"/>
    </row>
    <row r="655" spans="1:10">
      <c r="A655" s="267"/>
      <c r="B655" s="250"/>
      <c r="C655" s="250" t="s">
        <v>2037</v>
      </c>
      <c r="D655" s="250"/>
      <c r="E655" s="240">
        <v>1262.6500000000001</v>
      </c>
      <c r="F655" s="240"/>
      <c r="G655" s="264"/>
      <c r="H655" s="152"/>
      <c r="I655" s="264"/>
      <c r="J655" s="152"/>
    </row>
    <row r="656" spans="1:10">
      <c r="A656" s="267"/>
      <c r="B656" s="250"/>
      <c r="C656" s="250" t="s">
        <v>2038</v>
      </c>
      <c r="D656" s="250"/>
      <c r="E656" s="240">
        <v>1029</v>
      </c>
      <c r="F656" s="240"/>
      <c r="G656" s="264"/>
      <c r="H656" s="152"/>
      <c r="I656" s="264"/>
      <c r="J656" s="152"/>
    </row>
    <row r="657" spans="1:10">
      <c r="A657" s="267"/>
      <c r="B657" s="250"/>
      <c r="C657" s="250" t="s">
        <v>2039</v>
      </c>
      <c r="D657" s="250"/>
      <c r="E657" s="240">
        <v>633</v>
      </c>
      <c r="F657" s="240"/>
      <c r="G657" s="264"/>
      <c r="H657" s="152"/>
      <c r="I657" s="264"/>
      <c r="J657" s="152"/>
    </row>
    <row r="658" spans="1:10">
      <c r="A658" s="267"/>
      <c r="B658" s="250"/>
      <c r="C658" s="250" t="s">
        <v>2040</v>
      </c>
      <c r="D658" s="250"/>
      <c r="E658" s="240">
        <v>500</v>
      </c>
      <c r="F658" s="240"/>
      <c r="G658" s="264"/>
      <c r="H658" s="152"/>
      <c r="I658" s="264"/>
      <c r="J658" s="152"/>
    </row>
    <row r="659" spans="1:10">
      <c r="A659" s="267"/>
      <c r="B659" s="250"/>
      <c r="C659" s="250" t="s">
        <v>2041</v>
      </c>
      <c r="D659" s="250"/>
      <c r="E659" s="240">
        <v>1600</v>
      </c>
      <c r="F659" s="240"/>
      <c r="G659" s="264"/>
      <c r="H659" s="152"/>
      <c r="I659" s="264"/>
      <c r="J659" s="152"/>
    </row>
    <row r="660" spans="1:10">
      <c r="A660" s="267"/>
      <c r="B660" s="250"/>
      <c r="C660" s="250" t="s">
        <v>2042</v>
      </c>
      <c r="D660" s="250"/>
      <c r="E660" s="240">
        <v>1315.5</v>
      </c>
      <c r="F660" s="240"/>
      <c r="G660" s="264"/>
      <c r="H660" s="152"/>
      <c r="I660" s="264"/>
      <c r="J660" s="152"/>
    </row>
    <row r="661" spans="1:10">
      <c r="A661" s="267"/>
      <c r="B661" s="250"/>
      <c r="C661" s="250" t="s">
        <v>2043</v>
      </c>
      <c r="D661" s="250"/>
      <c r="E661" s="240">
        <v>200</v>
      </c>
      <c r="F661" s="240"/>
      <c r="G661" s="264"/>
      <c r="H661" s="152"/>
      <c r="I661" s="264"/>
      <c r="J661" s="152"/>
    </row>
    <row r="662" spans="1:10">
      <c r="A662" s="267"/>
      <c r="B662" s="250"/>
      <c r="C662" s="250" t="s">
        <v>2044</v>
      </c>
      <c r="D662" s="250"/>
      <c r="E662" s="240">
        <v>1800</v>
      </c>
      <c r="F662" s="240"/>
      <c r="G662" s="264"/>
      <c r="H662" s="152"/>
      <c r="I662" s="264"/>
      <c r="J662" s="152"/>
    </row>
    <row r="663" spans="1:10">
      <c r="A663" s="267"/>
      <c r="B663" s="250"/>
      <c r="C663" s="250" t="s">
        <v>2045</v>
      </c>
      <c r="D663" s="250"/>
      <c r="E663" s="240">
        <v>1000</v>
      </c>
      <c r="F663" s="240"/>
      <c r="G663" s="264"/>
      <c r="H663" s="152"/>
      <c r="I663" s="264"/>
      <c r="J663" s="152"/>
    </row>
    <row r="664" spans="1:10">
      <c r="A664" s="267"/>
      <c r="B664" s="250"/>
      <c r="C664" s="250" t="s">
        <v>2046</v>
      </c>
      <c r="D664" s="250"/>
      <c r="E664" s="240">
        <v>1219</v>
      </c>
      <c r="F664" s="240"/>
      <c r="G664" s="264"/>
      <c r="H664" s="152"/>
      <c r="I664" s="264"/>
      <c r="J664" s="152"/>
    </row>
    <row r="665" spans="1:10">
      <c r="A665" s="267"/>
      <c r="B665" s="250"/>
      <c r="C665" s="250" t="s">
        <v>2047</v>
      </c>
      <c r="D665" s="250"/>
      <c r="E665" s="240">
        <v>2000</v>
      </c>
      <c r="F665" s="240"/>
      <c r="G665" s="264"/>
      <c r="H665" s="152"/>
      <c r="I665" s="264"/>
      <c r="J665" s="152"/>
    </row>
    <row r="666" spans="1:10">
      <c r="A666" s="267"/>
      <c r="B666" s="250"/>
      <c r="C666" s="250" t="s">
        <v>2048</v>
      </c>
      <c r="D666" s="250"/>
      <c r="E666" s="240">
        <v>737</v>
      </c>
      <c r="F666" s="240"/>
      <c r="G666" s="264"/>
      <c r="H666" s="152"/>
      <c r="I666" s="264"/>
      <c r="J666" s="152"/>
    </row>
    <row r="667" spans="1:10">
      <c r="A667" s="267"/>
      <c r="B667" s="250"/>
      <c r="C667" s="250" t="s">
        <v>1832</v>
      </c>
      <c r="D667" s="250"/>
      <c r="E667" s="240">
        <v>3000</v>
      </c>
      <c r="F667" s="240"/>
      <c r="G667" s="264"/>
      <c r="H667" s="240"/>
      <c r="I667" s="264"/>
      <c r="J667" s="152"/>
    </row>
    <row r="668" spans="1:10">
      <c r="A668" s="267"/>
      <c r="B668" s="250"/>
      <c r="C668" s="250" t="s">
        <v>1833</v>
      </c>
      <c r="D668" s="250"/>
      <c r="E668" s="240">
        <v>1600</v>
      </c>
      <c r="F668" s="240"/>
      <c r="G668" s="264"/>
      <c r="H668" s="152"/>
      <c r="I668" s="264"/>
      <c r="J668" s="152"/>
    </row>
    <row r="669" spans="1:10">
      <c r="A669" s="267"/>
      <c r="B669" s="250"/>
      <c r="C669" s="250" t="s">
        <v>1834</v>
      </c>
      <c r="D669" s="250"/>
      <c r="E669" s="240">
        <v>1000</v>
      </c>
      <c r="F669" s="240"/>
      <c r="G669" s="264"/>
      <c r="H669" s="152"/>
      <c r="I669" s="264"/>
      <c r="J669" s="152"/>
    </row>
    <row r="670" spans="1:10">
      <c r="A670" s="267"/>
      <c r="B670" s="250"/>
      <c r="C670" s="250" t="s">
        <v>1835</v>
      </c>
      <c r="D670" s="250"/>
      <c r="E670" s="240">
        <v>1262.6500000000001</v>
      </c>
      <c r="F670" s="240"/>
      <c r="G670" s="264"/>
      <c r="H670" s="152"/>
      <c r="I670" s="264"/>
      <c r="J670" s="152"/>
    </row>
    <row r="671" spans="1:10">
      <c r="A671" s="267"/>
      <c r="B671" s="250"/>
      <c r="C671" s="250" t="s">
        <v>1836</v>
      </c>
      <c r="D671" s="250"/>
      <c r="E671" s="240">
        <v>1000</v>
      </c>
      <c r="F671" s="240"/>
      <c r="G671" s="264"/>
      <c r="H671" s="152"/>
      <c r="I671" s="264"/>
      <c r="J671" s="152"/>
    </row>
    <row r="672" spans="1:10">
      <c r="A672" s="267"/>
      <c r="B672" s="250"/>
      <c r="C672" s="250" t="s">
        <v>1837</v>
      </c>
      <c r="D672" s="250"/>
      <c r="E672" s="240">
        <v>1500</v>
      </c>
      <c r="F672" s="240"/>
      <c r="G672" s="264"/>
      <c r="H672" s="152"/>
      <c r="I672" s="264"/>
      <c r="J672" s="152"/>
    </row>
    <row r="673" spans="1:10">
      <c r="A673" s="267"/>
      <c r="B673" s="250"/>
      <c r="C673" s="250" t="s">
        <v>1838</v>
      </c>
      <c r="D673" s="250"/>
      <c r="E673" s="240">
        <v>1000</v>
      </c>
      <c r="F673" s="240"/>
      <c r="G673" s="264"/>
      <c r="H673" s="152"/>
      <c r="I673" s="264"/>
      <c r="J673" s="152"/>
    </row>
    <row r="674" spans="1:10">
      <c r="A674" s="267"/>
      <c r="B674" s="250"/>
      <c r="C674" s="250" t="s">
        <v>1839</v>
      </c>
      <c r="D674" s="250"/>
      <c r="E674" s="240">
        <v>145</v>
      </c>
      <c r="F674" s="240"/>
      <c r="G674" s="264"/>
      <c r="H674" s="152"/>
      <c r="I674" s="264"/>
      <c r="J674" s="152"/>
    </row>
    <row r="675" spans="1:10">
      <c r="A675" s="267"/>
      <c r="B675" s="250"/>
      <c r="C675" s="250" t="s">
        <v>1840</v>
      </c>
      <c r="D675" s="250"/>
      <c r="E675" s="240">
        <v>1304</v>
      </c>
      <c r="F675" s="240"/>
      <c r="G675" s="264"/>
      <c r="H675" s="152"/>
      <c r="I675" s="264"/>
      <c r="J675" s="152"/>
    </row>
    <row r="676" spans="1:10">
      <c r="A676" s="267"/>
      <c r="B676" s="250"/>
      <c r="C676" s="250" t="s">
        <v>1841</v>
      </c>
      <c r="D676" s="250"/>
      <c r="E676" s="240">
        <v>1000</v>
      </c>
      <c r="F676" s="240"/>
      <c r="G676" s="264"/>
      <c r="H676" s="152"/>
      <c r="I676" s="264"/>
      <c r="J676" s="152"/>
    </row>
    <row r="677" spans="1:10">
      <c r="A677" s="267"/>
      <c r="B677" s="250"/>
      <c r="C677" s="250" t="s">
        <v>1842</v>
      </c>
      <c r="D677" s="250"/>
      <c r="E677" s="240">
        <v>200</v>
      </c>
      <c r="F677" s="240"/>
      <c r="G677" s="264"/>
      <c r="H677" s="152"/>
      <c r="I677" s="264"/>
      <c r="J677" s="152"/>
    </row>
    <row r="678" spans="1:10">
      <c r="A678" s="267"/>
      <c r="B678" s="250"/>
      <c r="C678" s="250" t="s">
        <v>1843</v>
      </c>
      <c r="D678" s="250"/>
      <c r="E678" s="240">
        <v>1500</v>
      </c>
      <c r="F678" s="240"/>
      <c r="G678" s="264"/>
      <c r="H678" s="152"/>
      <c r="I678" s="264"/>
      <c r="J678" s="152"/>
    </row>
    <row r="679" spans="1:10">
      <c r="A679" s="267"/>
      <c r="B679" s="250"/>
      <c r="C679" s="250" t="s">
        <v>1844</v>
      </c>
      <c r="D679" s="250"/>
      <c r="E679" s="240">
        <v>1834</v>
      </c>
      <c r="F679" s="240"/>
      <c r="G679" s="264"/>
      <c r="H679" s="152"/>
      <c r="I679" s="264"/>
      <c r="J679" s="152"/>
    </row>
    <row r="680" spans="1:10">
      <c r="A680" s="267"/>
      <c r="B680" s="250"/>
      <c r="C680" s="250" t="s">
        <v>1845</v>
      </c>
      <c r="D680" s="250"/>
      <c r="E680" s="240">
        <v>418</v>
      </c>
      <c r="F680" s="240"/>
      <c r="G680" s="264"/>
      <c r="H680" s="152"/>
      <c r="I680" s="264"/>
      <c r="J680" s="152"/>
    </row>
    <row r="681" spans="1:10">
      <c r="A681" s="267"/>
      <c r="B681" s="250"/>
      <c r="C681" s="250" t="s">
        <v>1846</v>
      </c>
      <c r="D681" s="250"/>
      <c r="E681" s="240">
        <v>1828</v>
      </c>
      <c r="F681" s="240"/>
      <c r="G681" s="264"/>
      <c r="H681" s="152"/>
      <c r="I681" s="264"/>
      <c r="J681" s="152"/>
    </row>
    <row r="682" spans="1:10">
      <c r="A682" s="267"/>
      <c r="B682" s="250"/>
      <c r="C682" s="250" t="s">
        <v>1847</v>
      </c>
      <c r="D682" s="250"/>
      <c r="E682" s="240">
        <v>628</v>
      </c>
      <c r="F682" s="240"/>
      <c r="G682" s="264"/>
      <c r="H682" s="152"/>
      <c r="I682" s="264"/>
      <c r="J682" s="152"/>
    </row>
    <row r="683" spans="1:10">
      <c r="A683" s="267"/>
      <c r="B683" s="250"/>
      <c r="C683" s="250" t="s">
        <v>1848</v>
      </c>
      <c r="D683" s="250"/>
      <c r="E683" s="240">
        <v>3000</v>
      </c>
      <c r="F683" s="240"/>
      <c r="G683" s="264"/>
      <c r="H683" s="152"/>
      <c r="I683" s="264"/>
      <c r="J683" s="152"/>
    </row>
    <row r="684" spans="1:10">
      <c r="A684" s="267"/>
      <c r="B684" s="250"/>
      <c r="C684" s="250" t="s">
        <v>1849</v>
      </c>
      <c r="D684" s="250"/>
      <c r="E684" s="240">
        <v>1000</v>
      </c>
      <c r="F684" s="240"/>
      <c r="G684" s="264"/>
      <c r="H684" s="152"/>
      <c r="I684" s="264"/>
      <c r="J684" s="152"/>
    </row>
    <row r="685" spans="1:10">
      <c r="A685" s="267"/>
      <c r="B685" s="250"/>
      <c r="C685" s="250" t="s">
        <v>1850</v>
      </c>
      <c r="D685" s="250"/>
      <c r="E685" s="240">
        <v>1000</v>
      </c>
      <c r="F685" s="240"/>
      <c r="G685" s="264"/>
      <c r="H685" s="152"/>
      <c r="I685" s="264"/>
      <c r="J685" s="152"/>
    </row>
    <row r="686" spans="1:10">
      <c r="A686" s="267"/>
      <c r="B686" s="250"/>
      <c r="C686" s="250" t="s">
        <v>1851</v>
      </c>
      <c r="D686" s="250"/>
      <c r="E686" s="240">
        <v>1000</v>
      </c>
      <c r="F686" s="240"/>
      <c r="G686" s="264"/>
      <c r="H686" s="152"/>
      <c r="I686" s="264"/>
      <c r="J686" s="152"/>
    </row>
    <row r="687" spans="1:10">
      <c r="A687" s="267"/>
      <c r="B687" s="250"/>
      <c r="C687" s="250" t="s">
        <v>1852</v>
      </c>
      <c r="D687" s="250"/>
      <c r="E687" s="240">
        <v>2100</v>
      </c>
      <c r="F687" s="240"/>
      <c r="G687" s="264"/>
      <c r="H687" s="152"/>
      <c r="I687" s="264"/>
      <c r="J687" s="152"/>
    </row>
    <row r="688" spans="1:10">
      <c r="A688" s="267"/>
      <c r="B688" s="250"/>
      <c r="C688" s="250" t="s">
        <v>330</v>
      </c>
      <c r="D688" s="250"/>
      <c r="E688" s="240">
        <v>200</v>
      </c>
      <c r="F688" s="240"/>
      <c r="G688" s="264"/>
      <c r="H688" s="152"/>
      <c r="I688" s="264"/>
      <c r="J688" s="152"/>
    </row>
    <row r="689" spans="1:12">
      <c r="A689" s="267"/>
      <c r="B689" s="250"/>
      <c r="C689" s="250" t="s">
        <v>331</v>
      </c>
      <c r="D689" s="250"/>
      <c r="E689" s="240">
        <v>873</v>
      </c>
      <c r="F689" s="240"/>
      <c r="G689" s="291"/>
      <c r="H689" s="152"/>
      <c r="I689" s="264"/>
      <c r="J689" s="152"/>
    </row>
    <row r="690" spans="1:12">
      <c r="A690" s="267"/>
      <c r="B690" s="250"/>
      <c r="C690" s="250" t="s">
        <v>332</v>
      </c>
      <c r="D690" s="250"/>
      <c r="E690" s="240">
        <v>1000</v>
      </c>
      <c r="F690" s="240"/>
      <c r="G690" s="291"/>
      <c r="H690" s="152"/>
      <c r="I690" s="264"/>
      <c r="J690" s="152"/>
    </row>
    <row r="691" spans="1:12">
      <c r="A691" s="267"/>
      <c r="B691" s="250"/>
      <c r="C691" s="250" t="s">
        <v>333</v>
      </c>
      <c r="D691" s="250"/>
      <c r="E691" s="240">
        <v>2500</v>
      </c>
      <c r="F691" s="240"/>
      <c r="G691" s="291"/>
      <c r="H691" s="151"/>
      <c r="I691" s="264"/>
      <c r="J691" s="152"/>
    </row>
    <row r="692" spans="1:12">
      <c r="A692" s="267"/>
      <c r="B692" s="250"/>
      <c r="C692" s="250" t="s">
        <v>334</v>
      </c>
      <c r="D692" s="250"/>
      <c r="E692" s="240">
        <v>1392</v>
      </c>
      <c r="F692" s="240"/>
      <c r="G692" s="291"/>
      <c r="H692" s="151"/>
      <c r="I692" s="264"/>
      <c r="J692" s="152"/>
    </row>
    <row r="693" spans="1:12">
      <c r="A693" s="267"/>
      <c r="B693" s="250"/>
      <c r="C693" s="250" t="s">
        <v>335</v>
      </c>
      <c r="D693" s="250"/>
      <c r="E693" s="240">
        <v>1600</v>
      </c>
      <c r="F693" s="240"/>
      <c r="G693" s="291"/>
      <c r="H693" s="151"/>
      <c r="I693" s="264"/>
      <c r="J693" s="151"/>
    </row>
    <row r="694" spans="1:12">
      <c r="A694" s="267"/>
      <c r="B694" s="250"/>
      <c r="C694" s="250" t="s">
        <v>336</v>
      </c>
      <c r="D694" s="250"/>
      <c r="E694" s="240">
        <v>766</v>
      </c>
      <c r="F694" s="251"/>
      <c r="G694" s="291"/>
      <c r="H694" s="152"/>
      <c r="I694" s="291"/>
      <c r="J694" s="151"/>
    </row>
    <row r="695" spans="1:12">
      <c r="B695" s="274"/>
      <c r="C695" s="250" t="s">
        <v>337</v>
      </c>
      <c r="D695" s="250"/>
      <c r="E695" s="240">
        <v>2214</v>
      </c>
      <c r="G695" s="291"/>
      <c r="H695" s="152"/>
      <c r="I695" s="291"/>
      <c r="J695" s="151"/>
    </row>
    <row r="696" spans="1:12">
      <c r="B696" s="274"/>
      <c r="C696" s="243" t="s">
        <v>338</v>
      </c>
      <c r="D696" s="250"/>
      <c r="E696" s="251">
        <v>1000</v>
      </c>
      <c r="G696" s="291"/>
      <c r="H696" s="152"/>
      <c r="I696" s="291"/>
      <c r="J696" s="151"/>
    </row>
    <row r="697" spans="1:12">
      <c r="B697" s="274"/>
      <c r="C697" s="243" t="s">
        <v>339</v>
      </c>
      <c r="D697" s="250"/>
      <c r="E697" s="251">
        <f>0.35+0.06+0.5-0.5</f>
        <v>0.40999999999999992</v>
      </c>
      <c r="G697" s="291"/>
      <c r="H697" s="152"/>
      <c r="I697" s="291"/>
      <c r="J697" s="151"/>
      <c r="L697" s="152"/>
    </row>
    <row r="698" spans="1:12" ht="15.75" thickBot="1">
      <c r="B698" s="274"/>
      <c r="C698" s="268" t="s">
        <v>2229</v>
      </c>
      <c r="D698" s="250"/>
      <c r="E698" s="292">
        <f>SUM(E430:E697)</f>
        <v>312433.88999999996</v>
      </c>
      <c r="F698" s="293">
        <f>+E698-TB!G42</f>
        <v>312433.88999999996</v>
      </c>
      <c r="G698" s="291"/>
      <c r="H698" s="152"/>
      <c r="I698" s="291"/>
      <c r="J698" s="151"/>
      <c r="L698" s="152"/>
    </row>
    <row r="699" spans="1:12" ht="15.75" thickTop="1">
      <c r="B699" s="274"/>
      <c r="C699" s="250"/>
      <c r="D699" s="250"/>
      <c r="E699" s="240"/>
      <c r="F699" s="293"/>
      <c r="G699" s="291"/>
      <c r="H699" s="152"/>
      <c r="I699" s="291"/>
      <c r="J699" s="151" t="s">
        <v>340</v>
      </c>
      <c r="L699" s="152"/>
    </row>
    <row r="700" spans="1:12" ht="15" hidden="1">
      <c r="A700" s="247" t="s">
        <v>341</v>
      </c>
      <c r="B700" s="274"/>
      <c r="C700" s="250"/>
      <c r="D700" s="250"/>
      <c r="E700" s="240"/>
      <c r="F700" s="293"/>
      <c r="G700" s="291"/>
      <c r="H700" s="152"/>
      <c r="I700" s="291"/>
      <c r="J700" s="151"/>
      <c r="L700" s="152"/>
    </row>
    <row r="701" spans="1:12" ht="15" hidden="1">
      <c r="B701" s="274"/>
      <c r="C701" s="250"/>
      <c r="D701" s="250"/>
      <c r="E701" s="240"/>
      <c r="F701" s="293"/>
      <c r="G701" s="291"/>
      <c r="H701" s="152"/>
      <c r="I701" s="291"/>
      <c r="J701" s="151"/>
      <c r="L701" s="152"/>
    </row>
    <row r="702" spans="1:12" ht="15" hidden="1">
      <c r="B702" s="274"/>
      <c r="C702" s="250" t="s">
        <v>1853</v>
      </c>
      <c r="D702" s="250"/>
      <c r="E702" s="240"/>
      <c r="F702" s="293"/>
      <c r="G702" s="291"/>
      <c r="H702" s="152"/>
      <c r="I702" s="291"/>
      <c r="J702" s="151"/>
      <c r="L702" s="152"/>
    </row>
    <row r="703" spans="1:12" ht="15" hidden="1">
      <c r="B703" s="274"/>
      <c r="C703" s="250"/>
      <c r="D703" s="294" t="s">
        <v>1854</v>
      </c>
      <c r="E703" s="240"/>
      <c r="F703" s="293"/>
      <c r="G703" s="291"/>
      <c r="H703" s="152"/>
      <c r="I703" s="291"/>
      <c r="J703" s="151"/>
      <c r="L703" s="152"/>
    </row>
    <row r="704" spans="1:12" ht="15" hidden="1">
      <c r="B704" s="274"/>
      <c r="C704" s="250" t="s">
        <v>1855</v>
      </c>
      <c r="D704" s="250"/>
      <c r="E704" s="240"/>
      <c r="F704" s="293"/>
      <c r="G704" s="291"/>
      <c r="H704" s="152"/>
      <c r="I704" s="291"/>
      <c r="J704" s="151"/>
      <c r="L704" s="152"/>
    </row>
    <row r="705" spans="2:12" ht="15" hidden="1">
      <c r="B705" s="274"/>
      <c r="C705" s="250"/>
      <c r="D705" s="294" t="s">
        <v>1856</v>
      </c>
      <c r="E705" s="240"/>
      <c r="F705" s="293"/>
      <c r="G705" s="291"/>
      <c r="H705" s="152"/>
      <c r="I705" s="291"/>
      <c r="J705" s="151"/>
      <c r="L705" s="152"/>
    </row>
    <row r="706" spans="2:12" ht="15" hidden="1">
      <c r="B706" s="274"/>
      <c r="C706" s="250" t="s">
        <v>1857</v>
      </c>
      <c r="D706" s="250"/>
      <c r="E706" s="240"/>
      <c r="F706" s="293"/>
      <c r="G706" s="291"/>
      <c r="H706" s="152"/>
      <c r="I706" s="291"/>
      <c r="J706" s="151"/>
      <c r="L706" s="152"/>
    </row>
    <row r="707" spans="2:12" ht="15" hidden="1">
      <c r="B707" s="274"/>
      <c r="C707" s="250"/>
      <c r="D707" s="294" t="s">
        <v>1858</v>
      </c>
      <c r="E707" s="240"/>
      <c r="F707" s="293"/>
      <c r="G707" s="291"/>
      <c r="H707" s="152"/>
      <c r="I707" s="291"/>
      <c r="J707" s="151"/>
      <c r="L707" s="152"/>
    </row>
    <row r="708" spans="2:12" ht="15" hidden="1">
      <c r="B708" s="274"/>
      <c r="C708" s="250" t="s">
        <v>1859</v>
      </c>
      <c r="D708" s="250"/>
      <c r="E708" s="240"/>
      <c r="F708" s="293"/>
      <c r="G708" s="291"/>
      <c r="H708" s="152"/>
      <c r="I708" s="291"/>
      <c r="J708" s="151"/>
      <c r="L708" s="152"/>
    </row>
    <row r="709" spans="2:12" ht="15" hidden="1">
      <c r="B709" s="274"/>
      <c r="C709" s="250"/>
      <c r="D709" s="294" t="s">
        <v>271</v>
      </c>
      <c r="E709" s="240"/>
      <c r="F709" s="293"/>
      <c r="G709" s="291"/>
      <c r="H709" s="152"/>
      <c r="I709" s="291"/>
      <c r="J709" s="151"/>
      <c r="L709" s="152"/>
    </row>
    <row r="710" spans="2:12" ht="15" hidden="1">
      <c r="B710" s="274"/>
      <c r="C710" s="250" t="s">
        <v>2448</v>
      </c>
      <c r="D710" s="250"/>
      <c r="E710" s="240"/>
      <c r="F710" s="293"/>
      <c r="G710" s="291"/>
      <c r="H710" s="152"/>
      <c r="I710" s="291"/>
      <c r="J710" s="151"/>
      <c r="L710" s="152"/>
    </row>
    <row r="711" spans="2:12" ht="15" hidden="1">
      <c r="B711" s="274"/>
      <c r="C711" s="250"/>
      <c r="D711" s="294" t="s">
        <v>2449</v>
      </c>
      <c r="E711" s="240"/>
      <c r="F711" s="293"/>
      <c r="G711" s="291"/>
      <c r="H711" s="152"/>
      <c r="I711" s="291"/>
      <c r="J711" s="151"/>
      <c r="L711" s="152"/>
    </row>
    <row r="712" spans="2:12" ht="15" hidden="1">
      <c r="B712" s="274"/>
      <c r="C712" s="250" t="s">
        <v>2450</v>
      </c>
      <c r="D712" s="250"/>
      <c r="E712" s="240"/>
      <c r="F712" s="293"/>
      <c r="G712" s="291"/>
      <c r="H712" s="152"/>
      <c r="I712" s="291"/>
      <c r="J712" s="151"/>
      <c r="L712" s="152"/>
    </row>
    <row r="713" spans="2:12" ht="15" hidden="1">
      <c r="B713" s="274"/>
      <c r="C713" s="250"/>
      <c r="D713" s="294" t="s">
        <v>2451</v>
      </c>
      <c r="E713" s="240"/>
      <c r="F713" s="293"/>
      <c r="G713" s="291"/>
      <c r="H713" s="152"/>
      <c r="I713" s="291"/>
      <c r="J713" s="151"/>
      <c r="L713" s="152"/>
    </row>
    <row r="714" spans="2:12" ht="15" hidden="1">
      <c r="B714" s="274"/>
      <c r="C714" s="250" t="s">
        <v>1038</v>
      </c>
      <c r="D714" s="250"/>
      <c r="E714" s="240"/>
      <c r="F714" s="293"/>
      <c r="G714" s="291"/>
      <c r="H714" s="152"/>
      <c r="I714" s="291"/>
      <c r="J714" s="151"/>
      <c r="L714" s="152"/>
    </row>
    <row r="715" spans="2:12" ht="15" hidden="1">
      <c r="B715" s="274"/>
      <c r="C715" s="250"/>
      <c r="D715" s="294" t="s">
        <v>1039</v>
      </c>
      <c r="E715" s="240"/>
      <c r="F715" s="293"/>
      <c r="G715" s="291"/>
      <c r="H715" s="152"/>
      <c r="I715" s="291"/>
      <c r="J715" s="151"/>
      <c r="L715" s="152"/>
    </row>
    <row r="716" spans="2:12" ht="15" hidden="1">
      <c r="B716" s="274"/>
      <c r="C716" s="250" t="s">
        <v>1040</v>
      </c>
      <c r="D716" s="250"/>
      <c r="E716" s="240"/>
      <c r="F716" s="293"/>
      <c r="G716" s="291"/>
      <c r="H716" s="152"/>
      <c r="I716" s="291"/>
      <c r="J716" s="151"/>
      <c r="L716" s="152"/>
    </row>
    <row r="717" spans="2:12" ht="15" hidden="1">
      <c r="B717" s="274"/>
      <c r="C717" s="250"/>
      <c r="D717" s="294" t="s">
        <v>1041</v>
      </c>
      <c r="E717" s="240"/>
      <c r="F717" s="293"/>
      <c r="G717" s="291"/>
      <c r="H717" s="152"/>
      <c r="I717" s="291"/>
      <c r="J717" s="151"/>
      <c r="L717" s="152"/>
    </row>
    <row r="718" spans="2:12" ht="15" hidden="1">
      <c r="B718" s="274"/>
      <c r="C718" s="250" t="s">
        <v>1042</v>
      </c>
      <c r="D718" s="294"/>
      <c r="E718" s="240"/>
      <c r="F718" s="293"/>
      <c r="G718" s="291"/>
      <c r="H718" s="152"/>
      <c r="I718" s="291"/>
      <c r="J718" s="151"/>
      <c r="L718" s="152"/>
    </row>
    <row r="719" spans="2:12" ht="15" hidden="1">
      <c r="B719" s="274"/>
      <c r="C719" s="250"/>
      <c r="D719" s="294" t="s">
        <v>1043</v>
      </c>
      <c r="E719" s="240"/>
      <c r="F719" s="293"/>
      <c r="G719" s="291"/>
      <c r="H719" s="152"/>
      <c r="I719" s="291"/>
      <c r="J719" s="151"/>
      <c r="L719" s="152"/>
    </row>
    <row r="720" spans="2:12" ht="15" hidden="1">
      <c r="B720" s="274"/>
      <c r="C720" s="250" t="s">
        <v>1044</v>
      </c>
      <c r="D720" s="294"/>
      <c r="E720" s="240"/>
      <c r="F720" s="293"/>
      <c r="G720" s="291"/>
      <c r="H720" s="152"/>
      <c r="I720" s="291"/>
      <c r="J720" s="151"/>
      <c r="L720" s="152"/>
    </row>
    <row r="721" spans="2:12" ht="15" hidden="1">
      <c r="B721" s="274"/>
      <c r="C721" s="250"/>
      <c r="D721" s="294" t="s">
        <v>1045</v>
      </c>
      <c r="E721" s="240"/>
      <c r="F721" s="293"/>
      <c r="G721" s="291"/>
      <c r="H721" s="152"/>
      <c r="I721" s="291"/>
      <c r="J721" s="151"/>
      <c r="L721" s="152"/>
    </row>
    <row r="722" spans="2:12" ht="15" hidden="1">
      <c r="B722" s="274"/>
      <c r="C722" s="250" t="s">
        <v>348</v>
      </c>
      <c r="D722" s="294"/>
      <c r="E722" s="240"/>
      <c r="F722" s="293"/>
      <c r="G722" s="291"/>
      <c r="H722" s="152"/>
      <c r="I722" s="291"/>
      <c r="J722" s="151"/>
      <c r="L722" s="152"/>
    </row>
    <row r="723" spans="2:12" ht="15" hidden="1">
      <c r="B723" s="274"/>
      <c r="C723" s="250"/>
      <c r="D723" s="294" t="s">
        <v>349</v>
      </c>
      <c r="E723" s="240"/>
      <c r="F723" s="293"/>
      <c r="G723" s="291"/>
      <c r="H723" s="152"/>
      <c r="I723" s="291"/>
      <c r="J723" s="151"/>
      <c r="L723" s="152"/>
    </row>
    <row r="724" spans="2:12" ht="15" hidden="1">
      <c r="B724" s="274"/>
      <c r="C724" s="250" t="s">
        <v>350</v>
      </c>
      <c r="D724" s="294"/>
      <c r="E724" s="240"/>
      <c r="F724" s="293"/>
      <c r="G724" s="291"/>
      <c r="H724" s="152"/>
      <c r="I724" s="291"/>
      <c r="J724" s="151"/>
      <c r="L724" s="152"/>
    </row>
    <row r="725" spans="2:12" ht="15" hidden="1">
      <c r="B725" s="274"/>
      <c r="C725" s="250"/>
      <c r="D725" s="294" t="s">
        <v>351</v>
      </c>
      <c r="E725" s="240"/>
      <c r="F725" s="293"/>
      <c r="G725" s="291"/>
      <c r="H725" s="152"/>
      <c r="I725" s="291"/>
      <c r="J725" s="151"/>
      <c r="L725" s="152"/>
    </row>
    <row r="726" spans="2:12" ht="15" hidden="1">
      <c r="B726" s="274"/>
      <c r="C726" s="250" t="s">
        <v>352</v>
      </c>
      <c r="D726" s="294"/>
      <c r="E726" s="240"/>
      <c r="F726" s="293"/>
      <c r="G726" s="291"/>
      <c r="H726" s="152"/>
      <c r="I726" s="291"/>
      <c r="J726" s="151"/>
      <c r="L726" s="152"/>
    </row>
    <row r="727" spans="2:12" ht="15" hidden="1">
      <c r="B727" s="274"/>
      <c r="C727" s="250"/>
      <c r="D727" s="294" t="s">
        <v>353</v>
      </c>
      <c r="E727" s="240"/>
      <c r="F727" s="293"/>
      <c r="G727" s="291"/>
      <c r="H727" s="152"/>
      <c r="I727" s="291"/>
      <c r="J727" s="151"/>
      <c r="L727" s="152"/>
    </row>
    <row r="728" spans="2:12" ht="15" hidden="1">
      <c r="B728" s="274"/>
      <c r="C728" s="250" t="s">
        <v>354</v>
      </c>
      <c r="D728" s="294"/>
      <c r="E728" s="240"/>
      <c r="F728" s="293"/>
      <c r="G728" s="291"/>
      <c r="H728" s="152"/>
      <c r="I728" s="291"/>
      <c r="J728" s="151"/>
      <c r="L728" s="152"/>
    </row>
    <row r="729" spans="2:12" ht="15" hidden="1">
      <c r="B729" s="274"/>
      <c r="C729" s="250"/>
      <c r="D729" s="294" t="s">
        <v>355</v>
      </c>
      <c r="E729" s="240"/>
      <c r="F729" s="293"/>
      <c r="G729" s="291"/>
      <c r="H729" s="152"/>
      <c r="I729" s="291"/>
      <c r="J729" s="151"/>
      <c r="L729" s="152"/>
    </row>
    <row r="730" spans="2:12" ht="15" hidden="1">
      <c r="B730" s="274"/>
      <c r="C730" s="250" t="s">
        <v>356</v>
      </c>
      <c r="D730" s="294"/>
      <c r="E730" s="240"/>
      <c r="F730" s="293"/>
      <c r="G730" s="291"/>
      <c r="H730" s="152"/>
      <c r="I730" s="291"/>
      <c r="J730" s="151"/>
      <c r="L730" s="152"/>
    </row>
    <row r="731" spans="2:12" ht="15" hidden="1">
      <c r="B731" s="274"/>
      <c r="C731" s="250"/>
      <c r="D731" s="294" t="s">
        <v>357</v>
      </c>
      <c r="E731" s="240"/>
      <c r="F731" s="293"/>
      <c r="G731" s="291"/>
      <c r="H731" s="152"/>
      <c r="I731" s="291"/>
      <c r="J731" s="151"/>
      <c r="L731" s="152"/>
    </row>
    <row r="732" spans="2:12" ht="15" hidden="1">
      <c r="B732" s="274"/>
      <c r="C732" s="250" t="s">
        <v>358</v>
      </c>
      <c r="D732" s="294"/>
      <c r="E732" s="240"/>
      <c r="F732" s="293"/>
      <c r="G732" s="291"/>
      <c r="H732" s="152"/>
      <c r="I732" s="291"/>
      <c r="J732" s="151"/>
      <c r="L732" s="152"/>
    </row>
    <row r="733" spans="2:12" ht="15" hidden="1">
      <c r="B733" s="274"/>
      <c r="C733" s="250"/>
      <c r="D733" s="294" t="s">
        <v>359</v>
      </c>
      <c r="E733" s="240"/>
      <c r="F733" s="293"/>
      <c r="G733" s="291"/>
      <c r="H733" s="152"/>
      <c r="I733" s="291"/>
      <c r="J733" s="151"/>
      <c r="L733" s="152"/>
    </row>
    <row r="734" spans="2:12" ht="15" hidden="1">
      <c r="B734" s="274"/>
      <c r="C734" s="250" t="s">
        <v>360</v>
      </c>
      <c r="D734" s="294"/>
      <c r="E734" s="240"/>
      <c r="F734" s="293"/>
      <c r="G734" s="291"/>
      <c r="H734" s="152"/>
      <c r="I734" s="291"/>
      <c r="J734" s="151"/>
      <c r="L734" s="152"/>
    </row>
    <row r="735" spans="2:12" ht="15" hidden="1">
      <c r="B735" s="274"/>
      <c r="C735" s="250"/>
      <c r="D735" s="294" t="s">
        <v>361</v>
      </c>
      <c r="E735" s="240"/>
      <c r="F735" s="293"/>
      <c r="G735" s="291"/>
      <c r="H735" s="152"/>
      <c r="I735" s="291"/>
      <c r="J735" s="151"/>
      <c r="L735" s="152"/>
    </row>
    <row r="736" spans="2:12" ht="15" hidden="1">
      <c r="B736" s="274"/>
      <c r="C736" s="250" t="s">
        <v>1875</v>
      </c>
      <c r="D736" s="294"/>
      <c r="E736" s="240"/>
      <c r="F736" s="293"/>
      <c r="G736" s="291"/>
      <c r="H736" s="152"/>
      <c r="I736" s="291"/>
      <c r="J736" s="151"/>
      <c r="L736" s="152"/>
    </row>
    <row r="737" spans="2:12" ht="15" hidden="1">
      <c r="B737" s="274"/>
      <c r="C737" s="250"/>
      <c r="D737" s="294" t="s">
        <v>1876</v>
      </c>
      <c r="E737" s="240"/>
      <c r="F737" s="293"/>
      <c r="G737" s="291"/>
      <c r="H737" s="152"/>
      <c r="I737" s="291"/>
      <c r="J737" s="151"/>
      <c r="L737" s="152"/>
    </row>
    <row r="738" spans="2:12" ht="15" hidden="1">
      <c r="B738" s="274"/>
      <c r="C738" s="250" t="s">
        <v>1877</v>
      </c>
      <c r="D738" s="294"/>
      <c r="E738" s="240"/>
      <c r="F738" s="293"/>
      <c r="G738" s="291"/>
      <c r="H738" s="152"/>
      <c r="I738" s="291"/>
      <c r="J738" s="151"/>
      <c r="L738" s="152"/>
    </row>
    <row r="739" spans="2:12" ht="15" hidden="1">
      <c r="B739" s="274"/>
      <c r="C739" s="250"/>
      <c r="D739" s="294" t="s">
        <v>1878</v>
      </c>
      <c r="E739" s="240"/>
      <c r="F739" s="293"/>
      <c r="G739" s="291"/>
      <c r="H739" s="152"/>
      <c r="I739" s="291"/>
      <c r="J739" s="151"/>
      <c r="L739" s="152"/>
    </row>
    <row r="740" spans="2:12" ht="15" hidden="1">
      <c r="B740" s="274"/>
      <c r="C740" s="250" t="s">
        <v>1879</v>
      </c>
      <c r="D740" s="294"/>
      <c r="E740" s="240"/>
      <c r="F740" s="293"/>
      <c r="G740" s="291"/>
      <c r="H740" s="152"/>
      <c r="I740" s="291"/>
      <c r="J740" s="151"/>
      <c r="L740" s="152"/>
    </row>
    <row r="741" spans="2:12" ht="15" hidden="1">
      <c r="B741" s="274"/>
      <c r="C741" s="250"/>
      <c r="D741" s="294" t="s">
        <v>1880</v>
      </c>
      <c r="E741" s="240"/>
      <c r="F741" s="293"/>
      <c r="G741" s="291"/>
      <c r="H741" s="152"/>
      <c r="I741" s="291"/>
      <c r="J741" s="151"/>
      <c r="L741" s="152"/>
    </row>
    <row r="742" spans="2:12" ht="15" hidden="1">
      <c r="B742" s="274"/>
      <c r="C742" s="250" t="s">
        <v>1881</v>
      </c>
      <c r="D742" s="294"/>
      <c r="E742" s="240"/>
      <c r="F742" s="293"/>
      <c r="G742" s="291"/>
      <c r="H742" s="152"/>
      <c r="I742" s="291"/>
      <c r="J742" s="151"/>
      <c r="L742" s="152"/>
    </row>
    <row r="743" spans="2:12" ht="15" hidden="1">
      <c r="B743" s="274"/>
      <c r="C743" s="250"/>
      <c r="D743" s="294" t="s">
        <v>1882</v>
      </c>
      <c r="E743" s="240"/>
      <c r="F743" s="293"/>
      <c r="G743" s="291"/>
      <c r="H743" s="152"/>
      <c r="I743" s="291"/>
      <c r="J743" s="151"/>
      <c r="L743" s="152"/>
    </row>
    <row r="744" spans="2:12" ht="15" hidden="1">
      <c r="B744" s="274"/>
      <c r="C744" s="250" t="s">
        <v>2519</v>
      </c>
      <c r="D744" s="294"/>
      <c r="E744" s="240"/>
      <c r="F744" s="293"/>
      <c r="G744" s="291"/>
      <c r="H744" s="152"/>
      <c r="I744" s="291"/>
      <c r="J744" s="151"/>
      <c r="L744" s="152"/>
    </row>
    <row r="745" spans="2:12" ht="15" hidden="1">
      <c r="B745" s="274"/>
      <c r="C745" s="250"/>
      <c r="D745" s="294" t="s">
        <v>2520</v>
      </c>
      <c r="E745" s="240"/>
      <c r="F745" s="293"/>
      <c r="G745" s="291"/>
      <c r="H745" s="152"/>
      <c r="I745" s="291"/>
      <c r="J745" s="151"/>
      <c r="L745" s="152"/>
    </row>
    <row r="746" spans="2:12" ht="15" hidden="1">
      <c r="B746" s="274"/>
      <c r="C746" s="250" t="s">
        <v>2521</v>
      </c>
      <c r="D746" s="294"/>
      <c r="E746" s="240"/>
      <c r="F746" s="293"/>
      <c r="G746" s="291"/>
      <c r="H746" s="152"/>
      <c r="I746" s="291"/>
      <c r="J746" s="151"/>
      <c r="L746" s="152"/>
    </row>
    <row r="747" spans="2:12" ht="15" hidden="1">
      <c r="B747" s="274"/>
      <c r="C747" s="250"/>
      <c r="D747" s="294" t="s">
        <v>2005</v>
      </c>
      <c r="E747" s="240"/>
      <c r="F747" s="293"/>
      <c r="G747" s="291"/>
      <c r="H747" s="152"/>
      <c r="I747" s="291"/>
      <c r="J747" s="151"/>
      <c r="L747" s="152"/>
    </row>
    <row r="748" spans="2:12" ht="15" hidden="1">
      <c r="B748" s="274"/>
      <c r="C748" s="250" t="s">
        <v>630</v>
      </c>
      <c r="D748" s="294"/>
      <c r="E748" s="240"/>
      <c r="F748" s="293"/>
      <c r="G748" s="291"/>
      <c r="H748" s="152"/>
      <c r="I748" s="291"/>
      <c r="J748" s="151"/>
      <c r="L748" s="152"/>
    </row>
    <row r="749" spans="2:12" ht="15" hidden="1">
      <c r="B749" s="274"/>
      <c r="C749" s="250"/>
      <c r="D749" s="294" t="s">
        <v>2132</v>
      </c>
      <c r="E749" s="240"/>
      <c r="F749" s="293"/>
      <c r="G749" s="291"/>
      <c r="H749" s="152"/>
      <c r="I749" s="291"/>
      <c r="J749" s="151"/>
      <c r="L749" s="152"/>
    </row>
    <row r="750" spans="2:12" ht="15" hidden="1">
      <c r="B750" s="274"/>
      <c r="C750" s="250" t="s">
        <v>1192</v>
      </c>
      <c r="D750" s="294"/>
      <c r="E750" s="240"/>
      <c r="F750" s="293"/>
      <c r="G750" s="291"/>
      <c r="H750" s="152"/>
      <c r="I750" s="291"/>
      <c r="J750" s="151"/>
      <c r="L750" s="152"/>
    </row>
    <row r="751" spans="2:12" ht="15" hidden="1">
      <c r="B751" s="274"/>
      <c r="C751" s="250"/>
      <c r="D751" s="294" t="s">
        <v>1195</v>
      </c>
      <c r="E751" s="240"/>
      <c r="F751" s="293"/>
      <c r="G751" s="291"/>
      <c r="H751" s="152"/>
      <c r="I751" s="291"/>
      <c r="J751" s="151"/>
      <c r="L751" s="152"/>
    </row>
    <row r="752" spans="2:12" ht="15" hidden="1">
      <c r="B752" s="274"/>
      <c r="C752" s="250" t="s">
        <v>1193</v>
      </c>
      <c r="D752" s="294"/>
      <c r="E752" s="240"/>
      <c r="F752" s="293"/>
      <c r="G752" s="291"/>
      <c r="H752" s="152"/>
      <c r="I752" s="291"/>
      <c r="J752" s="151"/>
      <c r="L752" s="152"/>
    </row>
    <row r="753" spans="2:12" ht="15" hidden="1">
      <c r="B753" s="274"/>
      <c r="C753" s="250"/>
      <c r="D753" s="294" t="s">
        <v>1194</v>
      </c>
      <c r="E753" s="240"/>
      <c r="F753" s="293"/>
      <c r="G753" s="291"/>
      <c r="H753" s="152"/>
      <c r="I753" s="291"/>
      <c r="J753" s="151"/>
      <c r="L753" s="152"/>
    </row>
    <row r="754" spans="2:12" ht="15" hidden="1">
      <c r="B754" s="274"/>
      <c r="C754" s="250" t="s">
        <v>2110</v>
      </c>
      <c r="D754" s="294"/>
      <c r="E754" s="240"/>
      <c r="F754" s="293"/>
      <c r="G754" s="291"/>
      <c r="H754" s="152"/>
      <c r="I754" s="291"/>
      <c r="J754" s="151"/>
      <c r="L754" s="152"/>
    </row>
    <row r="755" spans="2:12" ht="15" hidden="1">
      <c r="B755" s="274"/>
      <c r="C755" s="250"/>
      <c r="D755" s="294" t="s">
        <v>2111</v>
      </c>
      <c r="E755" s="240"/>
      <c r="F755" s="293"/>
      <c r="G755" s="291"/>
      <c r="H755" s="152"/>
      <c r="I755" s="291"/>
      <c r="J755" s="151"/>
      <c r="L755" s="152"/>
    </row>
    <row r="756" spans="2:12" ht="15" hidden="1">
      <c r="B756" s="274"/>
      <c r="C756" s="250" t="s">
        <v>2112</v>
      </c>
      <c r="D756" s="294"/>
      <c r="E756" s="240"/>
      <c r="F756" s="293"/>
      <c r="G756" s="291"/>
      <c r="H756" s="152"/>
      <c r="I756" s="291"/>
      <c r="J756" s="151"/>
      <c r="L756" s="152"/>
    </row>
    <row r="757" spans="2:12" ht="15" hidden="1">
      <c r="B757" s="274"/>
      <c r="C757" s="250"/>
      <c r="D757" s="294" t="s">
        <v>2113</v>
      </c>
      <c r="E757" s="240"/>
      <c r="F757" s="293"/>
      <c r="G757" s="291"/>
      <c r="H757" s="152"/>
      <c r="I757" s="291"/>
      <c r="J757" s="151"/>
      <c r="L757" s="152"/>
    </row>
    <row r="758" spans="2:12" ht="15" hidden="1">
      <c r="B758" s="274"/>
      <c r="C758" s="250" t="s">
        <v>2114</v>
      </c>
      <c r="D758" s="294"/>
      <c r="E758" s="240"/>
      <c r="F758" s="293"/>
      <c r="G758" s="291"/>
      <c r="H758" s="152"/>
      <c r="I758" s="291"/>
      <c r="J758" s="151"/>
      <c r="L758" s="152"/>
    </row>
    <row r="759" spans="2:12" ht="15" hidden="1">
      <c r="B759" s="274"/>
      <c r="C759" s="250"/>
      <c r="D759" s="294" t="s">
        <v>2115</v>
      </c>
      <c r="E759" s="240"/>
      <c r="F759" s="293"/>
      <c r="G759" s="291"/>
      <c r="H759" s="152"/>
      <c r="I759" s="291"/>
      <c r="J759" s="151"/>
      <c r="L759" s="152"/>
    </row>
    <row r="760" spans="2:12" ht="15" hidden="1">
      <c r="B760" s="274"/>
      <c r="C760" s="250" t="s">
        <v>624</v>
      </c>
      <c r="D760" s="294"/>
      <c r="E760" s="240"/>
      <c r="F760" s="293"/>
      <c r="G760" s="291"/>
      <c r="H760" s="152"/>
      <c r="I760" s="291"/>
      <c r="J760" s="151"/>
      <c r="L760" s="152"/>
    </row>
    <row r="761" spans="2:12" ht="15" hidden="1">
      <c r="B761" s="274"/>
      <c r="C761" s="250"/>
      <c r="D761" s="294" t="s">
        <v>625</v>
      </c>
      <c r="E761" s="240"/>
      <c r="F761" s="293"/>
      <c r="G761" s="291"/>
      <c r="H761" s="152"/>
      <c r="I761" s="291"/>
      <c r="J761" s="151"/>
      <c r="L761" s="152"/>
    </row>
    <row r="762" spans="2:12" ht="15" hidden="1">
      <c r="B762" s="274"/>
      <c r="C762" s="250" t="s">
        <v>626</v>
      </c>
      <c r="D762" s="294"/>
      <c r="E762" s="240"/>
      <c r="F762" s="293"/>
      <c r="G762" s="291"/>
      <c r="H762" s="152"/>
      <c r="I762" s="291"/>
      <c r="J762" s="151"/>
      <c r="L762" s="152"/>
    </row>
    <row r="763" spans="2:12" ht="15" hidden="1">
      <c r="B763" s="274"/>
      <c r="C763" s="250"/>
      <c r="D763" s="294" t="s">
        <v>627</v>
      </c>
      <c r="E763" s="240"/>
      <c r="F763" s="293"/>
      <c r="G763" s="291"/>
      <c r="H763" s="152"/>
      <c r="I763" s="291"/>
      <c r="J763" s="151"/>
      <c r="L763" s="152"/>
    </row>
    <row r="764" spans="2:12" ht="15" hidden="1">
      <c r="B764" s="274"/>
      <c r="C764" s="250" t="s">
        <v>628</v>
      </c>
      <c r="D764" s="294"/>
      <c r="E764" s="240"/>
      <c r="F764" s="293"/>
      <c r="G764" s="291"/>
      <c r="H764" s="152"/>
      <c r="I764" s="291"/>
      <c r="J764" s="151"/>
      <c r="L764" s="152"/>
    </row>
    <row r="765" spans="2:12" ht="15" hidden="1">
      <c r="B765" s="274"/>
      <c r="C765" s="250"/>
      <c r="D765" s="294" t="s">
        <v>629</v>
      </c>
      <c r="E765" s="240"/>
      <c r="F765" s="293"/>
      <c r="G765" s="291"/>
      <c r="H765" s="152"/>
      <c r="I765" s="291"/>
      <c r="J765" s="151"/>
      <c r="L765" s="152"/>
    </row>
    <row r="766" spans="2:12" ht="15" hidden="1">
      <c r="B766" s="274"/>
      <c r="C766" s="250" t="s">
        <v>1118</v>
      </c>
      <c r="D766" s="294"/>
      <c r="E766" s="240"/>
      <c r="F766" s="293"/>
      <c r="G766" s="291"/>
      <c r="H766" s="152"/>
      <c r="I766" s="291"/>
      <c r="J766" s="151"/>
      <c r="L766" s="152"/>
    </row>
    <row r="767" spans="2:12" ht="15" hidden="1">
      <c r="B767" s="274"/>
      <c r="C767" s="250"/>
      <c r="D767" s="294" t="s">
        <v>1119</v>
      </c>
      <c r="E767" s="240"/>
      <c r="F767" s="293"/>
      <c r="G767" s="291"/>
      <c r="H767" s="152"/>
      <c r="I767" s="291"/>
      <c r="J767" s="151"/>
      <c r="L767" s="152"/>
    </row>
    <row r="768" spans="2:12" ht="15" hidden="1">
      <c r="B768" s="274"/>
      <c r="C768" s="250" t="s">
        <v>1120</v>
      </c>
      <c r="D768" s="294"/>
      <c r="E768" s="240"/>
      <c r="F768" s="293"/>
      <c r="G768" s="291"/>
      <c r="H768" s="152"/>
      <c r="I768" s="291"/>
      <c r="J768" s="151"/>
      <c r="L768" s="152"/>
    </row>
    <row r="769" spans="2:12" ht="15" hidden="1">
      <c r="B769" s="274"/>
      <c r="C769" s="250"/>
      <c r="D769" s="294" t="s">
        <v>983</v>
      </c>
      <c r="E769" s="240"/>
      <c r="F769" s="293"/>
      <c r="G769" s="291"/>
      <c r="H769" s="152"/>
      <c r="I769" s="291"/>
      <c r="J769" s="151"/>
      <c r="L769" s="152"/>
    </row>
    <row r="770" spans="2:12" ht="15" hidden="1">
      <c r="B770" s="274"/>
      <c r="C770" s="250" t="s">
        <v>984</v>
      </c>
      <c r="D770" s="294"/>
      <c r="E770" s="240"/>
      <c r="F770" s="293"/>
      <c r="G770" s="291"/>
      <c r="H770" s="152"/>
      <c r="I770" s="291"/>
      <c r="J770" s="151"/>
      <c r="L770" s="152"/>
    </row>
    <row r="771" spans="2:12" ht="15" hidden="1">
      <c r="B771" s="274"/>
      <c r="C771" s="250"/>
      <c r="D771" s="294" t="s">
        <v>985</v>
      </c>
      <c r="E771" s="240"/>
      <c r="F771" s="293"/>
      <c r="G771" s="291"/>
      <c r="H771" s="152"/>
      <c r="I771" s="291"/>
      <c r="J771" s="151"/>
      <c r="L771" s="152"/>
    </row>
    <row r="772" spans="2:12" ht="15" hidden="1">
      <c r="B772" s="274"/>
      <c r="C772" s="250" t="s">
        <v>986</v>
      </c>
      <c r="D772" s="294"/>
      <c r="E772" s="240"/>
      <c r="F772" s="293"/>
      <c r="G772" s="291"/>
      <c r="H772" s="152"/>
      <c r="I772" s="291"/>
      <c r="J772" s="151"/>
      <c r="L772" s="152"/>
    </row>
    <row r="773" spans="2:12" ht="15" hidden="1">
      <c r="B773" s="274"/>
      <c r="C773" s="250"/>
      <c r="D773" s="294" t="s">
        <v>987</v>
      </c>
      <c r="E773" s="240"/>
      <c r="F773" s="293"/>
      <c r="G773" s="291"/>
      <c r="H773" s="152"/>
      <c r="I773" s="291"/>
      <c r="J773" s="151"/>
      <c r="L773" s="152"/>
    </row>
    <row r="774" spans="2:12" ht="15" hidden="1">
      <c r="B774" s="274"/>
      <c r="C774" s="250" t="s">
        <v>988</v>
      </c>
      <c r="D774" s="294"/>
      <c r="E774" s="240"/>
      <c r="F774" s="293"/>
      <c r="G774" s="291"/>
      <c r="H774" s="152"/>
      <c r="I774" s="291"/>
      <c r="J774" s="151"/>
      <c r="L774" s="152"/>
    </row>
    <row r="775" spans="2:12" ht="15" hidden="1">
      <c r="B775" s="274"/>
      <c r="C775" s="250"/>
      <c r="D775" s="294" t="s">
        <v>989</v>
      </c>
      <c r="E775" s="240"/>
      <c r="F775" s="293"/>
      <c r="G775" s="291"/>
      <c r="H775" s="152"/>
      <c r="I775" s="291"/>
      <c r="J775" s="151"/>
      <c r="L775" s="152"/>
    </row>
    <row r="776" spans="2:12" ht="15" hidden="1">
      <c r="B776" s="274"/>
      <c r="C776" s="250" t="s">
        <v>990</v>
      </c>
      <c r="D776" s="294"/>
      <c r="E776" s="240"/>
      <c r="F776" s="293"/>
      <c r="G776" s="291"/>
      <c r="H776" s="152"/>
      <c r="I776" s="291"/>
      <c r="J776" s="151"/>
      <c r="L776" s="152"/>
    </row>
    <row r="777" spans="2:12" ht="15" hidden="1">
      <c r="B777" s="274"/>
      <c r="C777" s="250"/>
      <c r="D777" s="294" t="s">
        <v>991</v>
      </c>
      <c r="E777" s="240"/>
      <c r="F777" s="293"/>
      <c r="G777" s="291"/>
      <c r="H777" s="152"/>
      <c r="I777" s="291"/>
      <c r="J777" s="151"/>
      <c r="L777" s="152"/>
    </row>
    <row r="778" spans="2:12" ht="15" hidden="1">
      <c r="B778" s="274"/>
      <c r="C778" s="250" t="s">
        <v>992</v>
      </c>
      <c r="D778" s="294"/>
      <c r="E778" s="240"/>
      <c r="F778" s="293"/>
      <c r="G778" s="291"/>
      <c r="H778" s="152"/>
      <c r="I778" s="291"/>
      <c r="J778" s="151"/>
      <c r="L778" s="152"/>
    </row>
    <row r="779" spans="2:12" ht="15" hidden="1">
      <c r="B779" s="274"/>
      <c r="C779" s="250"/>
      <c r="D779" s="294" t="s">
        <v>993</v>
      </c>
      <c r="E779" s="240"/>
      <c r="F779" s="293"/>
      <c r="G779" s="291"/>
      <c r="H779" s="152"/>
      <c r="I779" s="291"/>
      <c r="J779" s="151"/>
      <c r="L779" s="152"/>
    </row>
    <row r="780" spans="2:12" ht="15" hidden="1">
      <c r="B780" s="274"/>
      <c r="C780" s="250" t="s">
        <v>994</v>
      </c>
      <c r="D780" s="294"/>
      <c r="E780" s="240"/>
      <c r="F780" s="293"/>
      <c r="G780" s="291"/>
      <c r="H780" s="152"/>
      <c r="I780" s="291"/>
      <c r="J780" s="151"/>
      <c r="L780" s="152"/>
    </row>
    <row r="781" spans="2:12" ht="15" hidden="1">
      <c r="B781" s="274"/>
      <c r="C781" s="250"/>
      <c r="D781" s="294" t="s">
        <v>2058</v>
      </c>
      <c r="E781" s="240"/>
      <c r="F781" s="293"/>
      <c r="G781" s="291"/>
      <c r="H781" s="152"/>
      <c r="I781" s="291"/>
      <c r="J781" s="151"/>
      <c r="L781" s="152"/>
    </row>
    <row r="782" spans="2:12" ht="15" hidden="1">
      <c r="B782" s="274"/>
      <c r="C782" s="250" t="s">
        <v>1898</v>
      </c>
      <c r="D782" s="294"/>
      <c r="E782" s="240"/>
      <c r="F782" s="293"/>
      <c r="G782" s="291"/>
      <c r="H782" s="152"/>
      <c r="I782" s="291"/>
      <c r="J782" s="151"/>
      <c r="L782" s="152"/>
    </row>
    <row r="783" spans="2:12" ht="15" hidden="1">
      <c r="B783" s="274"/>
      <c r="C783" s="250"/>
      <c r="D783" s="294" t="s">
        <v>2057</v>
      </c>
      <c r="E783" s="240"/>
      <c r="F783" s="293"/>
      <c r="G783" s="291"/>
      <c r="H783" s="152"/>
      <c r="I783" s="291"/>
      <c r="J783" s="151"/>
      <c r="L783" s="152"/>
    </row>
    <row r="784" spans="2:12" ht="15" hidden="1">
      <c r="B784" s="274"/>
      <c r="C784" s="250" t="s">
        <v>2052</v>
      </c>
      <c r="D784" s="294"/>
      <c r="E784" s="240"/>
      <c r="F784" s="293"/>
      <c r="G784" s="291"/>
      <c r="H784" s="152"/>
      <c r="I784" s="291"/>
      <c r="J784" s="151"/>
      <c r="L784" s="152"/>
    </row>
    <row r="785" spans="2:12" ht="15" hidden="1">
      <c r="B785" s="274"/>
      <c r="C785" s="250"/>
      <c r="D785" s="294" t="s">
        <v>2056</v>
      </c>
      <c r="E785" s="240"/>
      <c r="F785" s="293"/>
      <c r="G785" s="291"/>
      <c r="H785" s="152"/>
      <c r="I785" s="291"/>
      <c r="J785" s="151"/>
      <c r="L785" s="152"/>
    </row>
    <row r="786" spans="2:12" ht="15" hidden="1">
      <c r="B786" s="274"/>
      <c r="C786" s="250" t="s">
        <v>2053</v>
      </c>
      <c r="D786" s="294"/>
      <c r="E786" s="240"/>
      <c r="F786" s="293"/>
      <c r="G786" s="291"/>
      <c r="H786" s="152"/>
      <c r="I786" s="291"/>
      <c r="J786" s="151"/>
      <c r="L786" s="152"/>
    </row>
    <row r="787" spans="2:12" ht="15" hidden="1">
      <c r="B787" s="274"/>
      <c r="C787" s="250"/>
      <c r="D787" s="294" t="s">
        <v>2055</v>
      </c>
      <c r="E787" s="240"/>
      <c r="F787" s="293"/>
      <c r="G787" s="291"/>
      <c r="H787" s="152"/>
      <c r="I787" s="291"/>
      <c r="J787" s="151"/>
      <c r="L787" s="152"/>
    </row>
    <row r="788" spans="2:12" ht="15" hidden="1">
      <c r="B788" s="274"/>
      <c r="C788" s="250" t="s">
        <v>617</v>
      </c>
      <c r="D788" s="294"/>
      <c r="E788" s="240"/>
      <c r="F788" s="293"/>
      <c r="G788" s="291"/>
      <c r="H788" s="152"/>
      <c r="I788" s="291"/>
      <c r="J788" s="151"/>
      <c r="L788" s="152"/>
    </row>
    <row r="789" spans="2:12" ht="15" hidden="1">
      <c r="B789" s="274"/>
      <c r="C789" s="250"/>
      <c r="D789" s="294" t="s">
        <v>2054</v>
      </c>
      <c r="E789" s="240"/>
      <c r="F789" s="293"/>
      <c r="G789" s="291"/>
      <c r="H789" s="152"/>
      <c r="I789" s="291"/>
      <c r="J789" s="151"/>
      <c r="L789" s="152"/>
    </row>
    <row r="790" spans="2:12" ht="15" hidden="1">
      <c r="B790" s="274"/>
      <c r="C790" s="250" t="s">
        <v>618</v>
      </c>
      <c r="D790" s="294"/>
      <c r="E790" s="240"/>
      <c r="F790" s="293"/>
      <c r="G790" s="291"/>
      <c r="H790" s="152"/>
      <c r="I790" s="291"/>
      <c r="J790" s="151"/>
      <c r="L790" s="152"/>
    </row>
    <row r="791" spans="2:12" ht="15" hidden="1">
      <c r="B791" s="274"/>
      <c r="C791" s="250"/>
      <c r="D791" s="294" t="s">
        <v>619</v>
      </c>
      <c r="E791" s="240"/>
      <c r="F791" s="293"/>
      <c r="G791" s="291"/>
      <c r="H791" s="152"/>
      <c r="I791" s="291"/>
      <c r="J791" s="151"/>
      <c r="L791" s="152"/>
    </row>
    <row r="792" spans="2:12" ht="15" hidden="1">
      <c r="B792" s="274"/>
      <c r="C792" s="250" t="s">
        <v>1409</v>
      </c>
      <c r="D792" s="294"/>
      <c r="E792" s="240"/>
      <c r="F792" s="293"/>
      <c r="G792" s="291"/>
      <c r="H792" s="152"/>
      <c r="I792" s="291"/>
      <c r="J792" s="151"/>
      <c r="L792" s="152"/>
    </row>
    <row r="793" spans="2:12" ht="15" hidden="1">
      <c r="B793" s="274"/>
      <c r="C793" s="250"/>
      <c r="D793" s="294" t="s">
        <v>1410</v>
      </c>
      <c r="E793" s="240"/>
      <c r="F793" s="293"/>
      <c r="G793" s="291"/>
      <c r="H793" s="152"/>
      <c r="I793" s="291"/>
      <c r="J793" s="151"/>
      <c r="L793" s="152"/>
    </row>
    <row r="794" spans="2:12" ht="15" hidden="1">
      <c r="B794" s="274"/>
      <c r="C794" s="250" t="s">
        <v>2116</v>
      </c>
      <c r="D794" s="294"/>
      <c r="E794" s="240"/>
      <c r="F794" s="293"/>
      <c r="G794" s="291"/>
      <c r="H794" s="152"/>
      <c r="I794" s="291"/>
      <c r="J794" s="151"/>
      <c r="L794" s="152"/>
    </row>
    <row r="795" spans="2:12" ht="15" hidden="1">
      <c r="B795" s="274"/>
      <c r="C795" s="250"/>
      <c r="D795" s="294" t="s">
        <v>2117</v>
      </c>
      <c r="E795" s="240"/>
      <c r="F795" s="293"/>
      <c r="G795" s="291"/>
      <c r="H795" s="152"/>
      <c r="I795" s="291"/>
      <c r="J795" s="151"/>
      <c r="L795" s="152"/>
    </row>
    <row r="796" spans="2:12" ht="15" hidden="1">
      <c r="B796" s="274"/>
      <c r="C796" s="250" t="s">
        <v>2118</v>
      </c>
      <c r="D796" s="294"/>
      <c r="E796" s="240"/>
      <c r="F796" s="293"/>
      <c r="G796" s="291"/>
      <c r="H796" s="152"/>
      <c r="I796" s="291"/>
      <c r="J796" s="151"/>
      <c r="L796" s="152"/>
    </row>
    <row r="797" spans="2:12" ht="15" hidden="1">
      <c r="B797" s="274"/>
      <c r="C797" s="250"/>
      <c r="D797" s="294" t="s">
        <v>669</v>
      </c>
      <c r="E797" s="240"/>
      <c r="F797" s="293"/>
      <c r="G797" s="291"/>
      <c r="H797" s="152"/>
      <c r="I797" s="291"/>
      <c r="J797" s="151"/>
      <c r="L797" s="152"/>
    </row>
    <row r="798" spans="2:12" ht="15" hidden="1">
      <c r="B798" s="274"/>
      <c r="C798" s="250" t="s">
        <v>283</v>
      </c>
      <c r="D798" s="294"/>
      <c r="E798" s="240"/>
      <c r="F798" s="293"/>
      <c r="G798" s="291"/>
      <c r="H798" s="152"/>
      <c r="I798" s="291"/>
      <c r="J798" s="151"/>
      <c r="L798" s="152"/>
    </row>
    <row r="799" spans="2:12" ht="15" hidden="1">
      <c r="B799" s="274"/>
      <c r="C799" s="250"/>
      <c r="D799" s="294" t="s">
        <v>1659</v>
      </c>
      <c r="E799" s="240"/>
      <c r="F799" s="293"/>
      <c r="G799" s="291"/>
      <c r="H799" s="152"/>
      <c r="I799" s="291"/>
      <c r="J799" s="151"/>
      <c r="L799" s="152"/>
    </row>
    <row r="800" spans="2:12" ht="15" hidden="1">
      <c r="B800" s="274"/>
      <c r="C800" s="250" t="s">
        <v>1660</v>
      </c>
      <c r="D800" s="294"/>
      <c r="E800" s="240"/>
      <c r="F800" s="293"/>
      <c r="G800" s="291"/>
      <c r="H800" s="152"/>
      <c r="I800" s="291"/>
      <c r="J800" s="151"/>
      <c r="L800" s="152"/>
    </row>
    <row r="801" spans="1:31" ht="15" hidden="1">
      <c r="B801" s="274"/>
      <c r="C801" s="250"/>
      <c r="D801" s="294" t="s">
        <v>1663</v>
      </c>
      <c r="E801" s="240"/>
      <c r="F801" s="293"/>
      <c r="G801" s="291"/>
      <c r="H801" s="152"/>
      <c r="I801" s="291"/>
      <c r="J801" s="151"/>
      <c r="L801" s="152"/>
    </row>
    <row r="802" spans="1:31" ht="15" hidden="1">
      <c r="B802" s="274"/>
      <c r="C802" s="250" t="s">
        <v>1661</v>
      </c>
      <c r="D802" s="294"/>
      <c r="E802" s="240"/>
      <c r="F802" s="293"/>
      <c r="G802" s="291"/>
      <c r="H802" s="152"/>
      <c r="I802" s="291"/>
      <c r="J802" s="151"/>
      <c r="L802" s="152"/>
    </row>
    <row r="803" spans="1:31" ht="15" hidden="1">
      <c r="B803" s="274"/>
      <c r="C803" s="250"/>
      <c r="D803" s="294" t="s">
        <v>1662</v>
      </c>
      <c r="E803" s="240"/>
      <c r="F803" s="293"/>
      <c r="G803" s="291"/>
      <c r="H803" s="152"/>
      <c r="I803" s="291"/>
      <c r="J803" s="151"/>
      <c r="L803" s="152"/>
    </row>
    <row r="804" spans="1:31" ht="15" hidden="1">
      <c r="B804" s="274"/>
      <c r="C804" s="250"/>
      <c r="D804" s="294"/>
      <c r="E804" s="240"/>
      <c r="F804" s="293"/>
      <c r="G804" s="291"/>
      <c r="H804" s="152"/>
      <c r="I804" s="291"/>
      <c r="J804" s="151"/>
      <c r="L804" s="152"/>
    </row>
    <row r="805" spans="1:31" ht="15.75" hidden="1" thickBot="1">
      <c r="B805" s="274"/>
      <c r="C805" s="250"/>
      <c r="D805" s="250"/>
      <c r="E805" s="269">
        <f>SUM(E703:E804)</f>
        <v>0</v>
      </c>
      <c r="F805" s="293">
        <f>+E805-TB!G51</f>
        <v>-518992</v>
      </c>
      <c r="G805" s="291"/>
      <c r="H805" s="152"/>
      <c r="I805" s="291"/>
      <c r="J805" s="151"/>
      <c r="L805" s="152"/>
    </row>
    <row r="806" spans="1:31" ht="15">
      <c r="A806" s="239" t="s">
        <v>1432</v>
      </c>
      <c r="B806" s="274"/>
      <c r="C806" s="239"/>
      <c r="E806" s="250"/>
      <c r="F806" s="293"/>
      <c r="G806" s="291"/>
      <c r="H806" s="152"/>
      <c r="I806" s="291"/>
      <c r="J806" s="151"/>
      <c r="L806" s="152"/>
    </row>
    <row r="807" spans="1:31" ht="15">
      <c r="A807" s="239"/>
      <c r="B807" s="274"/>
      <c r="C807" s="274" t="s">
        <v>1433</v>
      </c>
      <c r="E807" s="240">
        <f>186425+308000-77175+1046400-350000-664000-50000-14063.99-15000+50000-9500-4330-34083.29-1040-29800-104160</f>
        <v>237672.72000000003</v>
      </c>
      <c r="F807" s="293">
        <v>50000</v>
      </c>
      <c r="G807" s="291" t="s">
        <v>1434</v>
      </c>
      <c r="H807" s="152"/>
      <c r="I807" s="291"/>
      <c r="J807" s="151"/>
      <c r="L807" s="152"/>
      <c r="O807" s="152"/>
      <c r="S807" s="152"/>
      <c r="T807" s="295"/>
    </row>
    <row r="808" spans="1:31" ht="15">
      <c r="A808" s="239"/>
      <c r="B808" s="274"/>
      <c r="C808" s="274" t="s">
        <v>843</v>
      </c>
      <c r="E808" s="240">
        <f>154200-154197</f>
        <v>3</v>
      </c>
      <c r="F808" s="293"/>
      <c r="G808" s="291"/>
      <c r="H808" s="152"/>
      <c r="I808" s="291"/>
      <c r="J808" s="151"/>
      <c r="L808" s="152"/>
      <c r="O808" s="152"/>
      <c r="S808" s="152"/>
      <c r="T808" s="295"/>
    </row>
    <row r="809" spans="1:31" ht="15">
      <c r="A809" s="239"/>
      <c r="B809" s="274"/>
      <c r="C809" s="274" t="s">
        <v>2553</v>
      </c>
      <c r="E809" s="240">
        <f>180000-180000+20000</f>
        <v>20000</v>
      </c>
      <c r="F809" s="293"/>
      <c r="G809" s="291"/>
      <c r="H809" s="152"/>
      <c r="I809" s="291"/>
      <c r="J809" s="151"/>
      <c r="L809" s="152"/>
      <c r="O809" s="152"/>
      <c r="S809" s="152"/>
      <c r="T809" s="295"/>
    </row>
    <row r="810" spans="1:31" ht="15">
      <c r="A810" s="239"/>
      <c r="B810" s="274"/>
      <c r="C810" s="274" t="s">
        <v>267</v>
      </c>
      <c r="E810" s="240">
        <f>572760-161760+63640-411000</f>
        <v>63640</v>
      </c>
      <c r="F810" s="293"/>
      <c r="G810" s="291"/>
      <c r="H810" s="152"/>
      <c r="I810" s="291"/>
      <c r="J810" s="151"/>
      <c r="L810" s="152"/>
      <c r="O810" s="152"/>
      <c r="S810" s="152"/>
      <c r="T810" s="295"/>
    </row>
    <row r="811" spans="1:31" ht="15">
      <c r="A811" s="250"/>
      <c r="B811" s="274"/>
      <c r="C811" s="250" t="s">
        <v>707</v>
      </c>
      <c r="D811" s="250"/>
      <c r="E811" s="240">
        <v>1785.73</v>
      </c>
      <c r="F811" s="152"/>
      <c r="G811" s="291"/>
      <c r="H811" s="261"/>
      <c r="I811" s="291"/>
      <c r="J811" s="151"/>
      <c r="K811" s="248"/>
      <c r="L811" s="151"/>
      <c r="S811" s="152"/>
    </row>
    <row r="812" spans="1:31" ht="15">
      <c r="A812" s="250"/>
      <c r="B812" s="274"/>
      <c r="C812" s="274" t="s">
        <v>708</v>
      </c>
      <c r="E812" s="152">
        <v>91065</v>
      </c>
      <c r="F812" s="152"/>
      <c r="G812" s="291"/>
      <c r="H812" s="261"/>
      <c r="I812" s="291"/>
      <c r="J812" s="151"/>
      <c r="K812" s="248"/>
      <c r="L812" s="151"/>
      <c r="S812" s="152"/>
    </row>
    <row r="813" spans="1:31">
      <c r="A813" s="250"/>
      <c r="B813" s="274"/>
      <c r="C813" s="250" t="s">
        <v>709</v>
      </c>
      <c r="D813" s="250"/>
      <c r="E813" s="240">
        <v>7857</v>
      </c>
      <c r="F813" s="250"/>
      <c r="G813" s="291"/>
      <c r="H813" s="152"/>
      <c r="I813" s="291"/>
      <c r="J813" s="151"/>
      <c r="K813" s="248"/>
      <c r="L813" s="151"/>
      <c r="S813" s="296"/>
      <c r="T813" s="253"/>
      <c r="AC813" s="234" t="s">
        <v>710</v>
      </c>
      <c r="AE813" s="152">
        <v>3800000</v>
      </c>
    </row>
    <row r="814" spans="1:31" ht="15">
      <c r="A814" s="250"/>
      <c r="B814" s="274"/>
      <c r="C814" s="250" t="s">
        <v>711</v>
      </c>
      <c r="D814" s="250"/>
      <c r="E814" s="240">
        <v>4547.58</v>
      </c>
      <c r="F814" s="240"/>
      <c r="G814" s="291"/>
      <c r="H814" s="152"/>
      <c r="I814" s="291"/>
      <c r="J814" s="151"/>
      <c r="K814" s="151"/>
      <c r="L814" s="290"/>
      <c r="M814" s="247"/>
      <c r="N814" s="297"/>
    </row>
    <row r="815" spans="1:31" ht="15">
      <c r="A815" s="250"/>
      <c r="B815" s="274"/>
      <c r="C815" s="250" t="s">
        <v>47</v>
      </c>
      <c r="D815" s="250"/>
      <c r="E815" s="240">
        <f>260000-109500-150000</f>
        <v>500</v>
      </c>
      <c r="F815" s="240"/>
      <c r="G815" s="291"/>
      <c r="H815" s="152"/>
      <c r="I815" s="291"/>
      <c r="J815" s="151"/>
      <c r="K815" s="151"/>
      <c r="L815" s="290"/>
      <c r="M815" s="247"/>
      <c r="N815" s="298"/>
    </row>
    <row r="816" spans="1:31" ht="15">
      <c r="A816" s="250"/>
      <c r="B816" s="274"/>
      <c r="C816" s="274" t="s">
        <v>713</v>
      </c>
      <c r="E816" s="151">
        <f>874430.4+1000000-500000-369701.64-116660+1000000-5700-3800-1870746.68-2280+1870746.68-1870746.68-1050-3862.86</f>
        <v>629.21999999984155</v>
      </c>
      <c r="F816" s="240"/>
      <c r="G816" s="291"/>
      <c r="H816" s="152"/>
      <c r="I816" s="291"/>
      <c r="J816" s="151"/>
      <c r="K816" s="151"/>
      <c r="L816" s="290"/>
      <c r="N816" s="299"/>
      <c r="AC816" s="234" t="s">
        <v>714</v>
      </c>
      <c r="AD816" s="249" t="e">
        <f>E123+E154+E299+#REF!</f>
        <v>#REF!</v>
      </c>
    </row>
    <row r="817" spans="1:31" ht="15">
      <c r="A817" s="250"/>
      <c r="B817" s="274"/>
      <c r="C817" s="274" t="s">
        <v>715</v>
      </c>
      <c r="E817" s="151">
        <f>300000-25000-95037-40000-15000-24961.9-13011.85</f>
        <v>86989.25</v>
      </c>
      <c r="F817" s="240"/>
      <c r="G817" s="291"/>
      <c r="H817" s="152"/>
      <c r="I817" s="291"/>
      <c r="J817" s="151"/>
      <c r="K817" s="151"/>
      <c r="L817" s="290"/>
      <c r="N817" s="299"/>
      <c r="AD817" s="249"/>
    </row>
    <row r="818" spans="1:31" ht="15">
      <c r="A818" s="250"/>
      <c r="B818" s="274"/>
      <c r="C818" s="250" t="s">
        <v>716</v>
      </c>
      <c r="D818" s="250"/>
      <c r="E818" s="240">
        <v>40</v>
      </c>
      <c r="F818" s="240"/>
      <c r="G818" s="291"/>
      <c r="H818" s="152"/>
      <c r="I818" s="291"/>
      <c r="J818" s="151"/>
      <c r="K818" s="151"/>
      <c r="L818" s="290"/>
      <c r="N818" s="247"/>
      <c r="X818" s="152"/>
      <c r="AC818" s="255" t="s">
        <v>712</v>
      </c>
      <c r="AD818" s="249">
        <f>K840</f>
        <v>0</v>
      </c>
    </row>
    <row r="819" spans="1:31" ht="15">
      <c r="A819" s="250"/>
      <c r="B819" s="274"/>
      <c r="C819" s="274" t="s">
        <v>717</v>
      </c>
      <c r="E819" s="152">
        <f>432307-40020-374993.25-3000-7500</f>
        <v>6793.75</v>
      </c>
      <c r="F819" s="240"/>
      <c r="G819" s="291"/>
      <c r="H819" s="152"/>
      <c r="I819" s="152"/>
      <c r="J819" s="151"/>
      <c r="K819" s="151"/>
      <c r="L819" s="290"/>
      <c r="N819" s="300"/>
      <c r="X819" s="152"/>
      <c r="AA819" s="234" t="s">
        <v>718</v>
      </c>
      <c r="AC819" s="234" t="s">
        <v>719</v>
      </c>
      <c r="AD819" s="249">
        <v>1810619.74</v>
      </c>
    </row>
    <row r="820" spans="1:31" ht="15" hidden="1">
      <c r="A820" s="250"/>
      <c r="B820" s="274"/>
      <c r="C820" s="243" t="s">
        <v>720</v>
      </c>
      <c r="D820" s="250"/>
      <c r="E820" s="240">
        <f>132420-132420</f>
        <v>0</v>
      </c>
      <c r="F820" s="240"/>
      <c r="G820" s="291"/>
      <c r="H820" s="152"/>
      <c r="I820" s="152" t="s">
        <v>721</v>
      </c>
      <c r="J820" s="151"/>
      <c r="K820" s="151"/>
      <c r="L820" s="290"/>
      <c r="N820" s="301"/>
      <c r="X820" s="152"/>
    </row>
    <row r="821" spans="1:31" ht="15">
      <c r="A821" s="250"/>
      <c r="B821" s="274"/>
      <c r="C821" s="250" t="s">
        <v>153</v>
      </c>
      <c r="D821" s="250"/>
      <c r="E821" s="240">
        <v>95550</v>
      </c>
      <c r="F821" s="240"/>
      <c r="G821" s="291"/>
      <c r="H821" s="152"/>
      <c r="I821" s="152"/>
      <c r="J821" s="151"/>
      <c r="K821" s="151"/>
      <c r="L821" s="290"/>
      <c r="M821" s="247"/>
      <c r="N821" s="152"/>
      <c r="X821" s="152"/>
      <c r="AC821" s="234" t="s">
        <v>1023</v>
      </c>
      <c r="AE821" s="302" t="e">
        <f>SUM(AD816:AD819)</f>
        <v>#REF!</v>
      </c>
    </row>
    <row r="822" spans="1:31" ht="15">
      <c r="C822" s="234" t="s">
        <v>1407</v>
      </c>
      <c r="E822" s="152">
        <f>50000000-32000000+32000000+32708392.14</f>
        <v>82708392.140000001</v>
      </c>
      <c r="F822" s="303" t="s">
        <v>1617</v>
      </c>
      <c r="G822" s="261"/>
      <c r="H822" s="152"/>
      <c r="I822" s="152"/>
      <c r="J822" s="151"/>
      <c r="K822" s="248"/>
      <c r="L822" s="248"/>
    </row>
    <row r="823" spans="1:31" ht="15">
      <c r="C823" s="234" t="s">
        <v>362</v>
      </c>
      <c r="E823" s="152">
        <f>11807817.17-10900+148958.05-52990</f>
        <v>11892885.220000001</v>
      </c>
      <c r="F823" s="303"/>
      <c r="G823" s="261"/>
      <c r="H823" s="152"/>
      <c r="I823" s="152"/>
      <c r="J823" s="151"/>
      <c r="K823" s="248"/>
      <c r="L823" s="248"/>
    </row>
    <row r="824" spans="1:31">
      <c r="A824" s="250"/>
      <c r="B824" s="274"/>
      <c r="C824" s="274" t="s">
        <v>722</v>
      </c>
      <c r="E824" s="152">
        <f>2082818.94-118482.19-96336.77-8750-147342.11-250000-117000-191161.58-20000-130789.91-66030.91+1500000-707.64-150000-327754.3-18184.03-14400-320000-30000-5371.53-20000-468240+1500000-511447.48-42464-4000-12000-88459.25-30000-117994.6-174000+90000-203283.68-238000-337780.65+71237.9+2000000-495976.81-45000-159978.19-205000-626530.8-49796.21-555000-9000+8788.7-2050+4300000-191517.74-3175609.06-210800-270000-125680.35-179640.67-167400-327929.2-50000-2000-42900+51000-39590-81720.05-180000+3800000-87000-116125-209000-17633.18-30760-478812.6-2974.25-324400+87000-102500-135000-441000</f>
        <v>2092540.7999999998</v>
      </c>
      <c r="F824" s="240" t="s">
        <v>947</v>
      </c>
      <c r="G824" s="291"/>
      <c r="H824" s="152"/>
      <c r="I824" s="240">
        <v>2974.25</v>
      </c>
      <c r="J824" s="151" t="s">
        <v>1312</v>
      </c>
      <c r="K824" s="151"/>
      <c r="L824" s="290"/>
      <c r="N824" s="152"/>
      <c r="X824" s="152"/>
      <c r="AE824" s="249" t="e">
        <f>AE813-AE821</f>
        <v>#REF!</v>
      </c>
    </row>
    <row r="825" spans="1:31" ht="15">
      <c r="A825" s="250"/>
      <c r="B825" s="274"/>
      <c r="C825" s="274" t="s">
        <v>1439</v>
      </c>
      <c r="E825" s="152">
        <f>310448-110000</f>
        <v>200448</v>
      </c>
      <c r="F825" s="240"/>
      <c r="G825" s="291"/>
      <c r="H825" s="152"/>
      <c r="I825" s="152"/>
      <c r="J825" s="151"/>
      <c r="K825" s="151"/>
      <c r="L825" s="290"/>
      <c r="N825" s="304"/>
      <c r="R825" s="247"/>
      <c r="S825" s="297"/>
      <c r="U825" s="152"/>
      <c r="X825" s="152"/>
    </row>
    <row r="826" spans="1:31" ht="15">
      <c r="A826" s="250"/>
      <c r="B826" s="274"/>
      <c r="C826" s="274" t="s">
        <v>831</v>
      </c>
      <c r="E826" s="152">
        <f>203400-199000+474600-4400-13000-146500-155000-160000</f>
        <v>100</v>
      </c>
      <c r="F826" s="240"/>
      <c r="G826" s="291"/>
      <c r="H826" s="152"/>
      <c r="I826" s="152"/>
      <c r="J826" s="151"/>
      <c r="K826" s="151"/>
      <c r="L826" s="290"/>
      <c r="N826" s="249"/>
      <c r="S826" s="299"/>
      <c r="U826" s="152"/>
      <c r="X826" s="152"/>
    </row>
    <row r="827" spans="1:31" ht="15" hidden="1">
      <c r="A827" s="250"/>
      <c r="B827" s="274"/>
      <c r="C827" s="274" t="s">
        <v>1440</v>
      </c>
      <c r="E827" s="152">
        <f>500000-202350-143230-8750-2090-3990-2090-2090-26336.1-4276-15360-2320+8750-3780-1200-1920-1920-1120-2523-2303-2520-1120-1120-2090-3014-71237.9</f>
        <v>0</v>
      </c>
      <c r="F827" s="240"/>
      <c r="G827" s="291"/>
      <c r="H827" s="152"/>
      <c r="I827" s="152"/>
      <c r="J827" s="151"/>
      <c r="K827" s="248"/>
      <c r="L827" s="290"/>
      <c r="N827" s="259"/>
      <c r="S827" s="247"/>
      <c r="U827" s="152"/>
      <c r="X827" s="152"/>
    </row>
    <row r="828" spans="1:31" ht="15">
      <c r="A828" s="250"/>
      <c r="B828" s="274"/>
      <c r="C828" s="274" t="s">
        <v>1441</v>
      </c>
      <c r="E828" s="152">
        <f>1500000-500000-13440-973402.09-8400-4200</f>
        <v>557.9100000000326</v>
      </c>
      <c r="F828" s="240" t="s">
        <v>1442</v>
      </c>
      <c r="G828" s="291">
        <f>11950.64+3530</f>
        <v>15480.64</v>
      </c>
      <c r="H828" s="152"/>
      <c r="I828" s="152"/>
      <c r="J828" s="151"/>
      <c r="K828" s="248"/>
      <c r="L828" s="290"/>
      <c r="N828" s="296"/>
      <c r="S828" s="300"/>
      <c r="T828" s="234" t="s">
        <v>1443</v>
      </c>
      <c r="U828" s="152"/>
      <c r="X828" s="152"/>
    </row>
    <row r="829" spans="1:31" ht="15">
      <c r="A829" s="250"/>
      <c r="B829" s="274"/>
      <c r="C829" s="274" t="s">
        <v>268</v>
      </c>
      <c r="E829" s="152">
        <f>1040000-984793.74-4600-4947.35</f>
        <v>45658.910000000011</v>
      </c>
      <c r="G829" s="291"/>
      <c r="H829" s="152"/>
      <c r="I829" s="152"/>
      <c r="J829" s="151"/>
      <c r="K829" s="151"/>
      <c r="L829" s="290"/>
      <c r="N829" s="152"/>
      <c r="S829" s="301"/>
      <c r="U829" s="152"/>
      <c r="X829" s="152"/>
    </row>
    <row r="830" spans="1:31" ht="15">
      <c r="A830" s="250"/>
      <c r="B830" s="274"/>
      <c r="C830" s="274" t="s">
        <v>2573</v>
      </c>
      <c r="E830" s="152">
        <f>970000-970000+970000-891976.71</f>
        <v>78023.290000000037</v>
      </c>
      <c r="G830" s="291"/>
      <c r="H830" s="152"/>
      <c r="I830" s="152"/>
      <c r="J830" s="151"/>
      <c r="K830" s="151"/>
      <c r="L830" s="290"/>
      <c r="N830" s="152"/>
      <c r="S830" s="301"/>
      <c r="U830" s="152"/>
      <c r="X830" s="152"/>
    </row>
    <row r="831" spans="1:31" ht="15">
      <c r="A831" s="250"/>
      <c r="B831" s="274"/>
      <c r="C831" s="274" t="s">
        <v>844</v>
      </c>
      <c r="E831" s="152">
        <f>1400000-1400000+1600000-1600000+1000000-634208.67-26210</f>
        <v>339581.32999999996</v>
      </c>
      <c r="F831" s="240"/>
      <c r="G831" s="291"/>
      <c r="H831" s="152"/>
      <c r="I831" s="152"/>
      <c r="J831" s="151"/>
      <c r="K831" s="151"/>
      <c r="L831" s="290"/>
      <c r="N831" s="152"/>
      <c r="S831" s="301"/>
      <c r="U831" s="152"/>
      <c r="X831" s="152"/>
    </row>
    <row r="832" spans="1:31" ht="15">
      <c r="A832" s="250"/>
      <c r="B832" s="274"/>
      <c r="C832" s="274" t="s">
        <v>845</v>
      </c>
      <c r="E832" s="152">
        <v>840000</v>
      </c>
      <c r="F832" s="240"/>
      <c r="G832" s="291"/>
      <c r="H832" s="152"/>
      <c r="I832" s="152"/>
      <c r="J832" s="151"/>
      <c r="K832" s="151"/>
      <c r="L832" s="290"/>
      <c r="N832" s="152"/>
      <c r="S832" s="301"/>
      <c r="U832" s="152"/>
      <c r="X832" s="152"/>
    </row>
    <row r="833" spans="1:24" ht="15">
      <c r="A833" s="250"/>
      <c r="B833" s="274"/>
      <c r="C833" s="274" t="s">
        <v>846</v>
      </c>
      <c r="E833" s="152">
        <f>840000-117381.42-11270-361051.87-32803-92366.73-207499.98</f>
        <v>17626.999999999971</v>
      </c>
      <c r="F833" s="240"/>
      <c r="G833" s="291"/>
      <c r="H833" s="152"/>
      <c r="I833" s="152"/>
      <c r="J833" s="151"/>
      <c r="K833" s="151"/>
      <c r="L833" s="290"/>
      <c r="N833" s="152"/>
      <c r="S833" s="301"/>
      <c r="U833" s="152"/>
      <c r="X833" s="152"/>
    </row>
    <row r="834" spans="1:24" ht="15" hidden="1">
      <c r="A834" s="250"/>
      <c r="B834" s="274"/>
      <c r="C834" s="274" t="s">
        <v>2279</v>
      </c>
      <c r="E834" s="152">
        <f>560000-560000</f>
        <v>0</v>
      </c>
      <c r="F834" s="240"/>
      <c r="G834" s="291"/>
      <c r="H834" s="152"/>
      <c r="I834" s="152"/>
      <c r="J834" s="151"/>
      <c r="K834" s="151"/>
      <c r="L834" s="290"/>
      <c r="N834" s="152"/>
      <c r="S834" s="301"/>
      <c r="U834" s="152"/>
      <c r="X834" s="152"/>
    </row>
    <row r="835" spans="1:24" ht="15">
      <c r="A835" s="250"/>
      <c r="B835" s="274"/>
      <c r="C835" s="274" t="s">
        <v>2280</v>
      </c>
      <c r="E835" s="152">
        <f>280000-280000+520000-480330.87-5060-25974.54</f>
        <v>8634.5900000000038</v>
      </c>
      <c r="F835" s="240"/>
      <c r="G835" s="291"/>
      <c r="H835" s="152"/>
      <c r="I835" s="152"/>
      <c r="J835" s="151"/>
      <c r="K835" s="151"/>
      <c r="L835" s="290"/>
      <c r="N835" s="152"/>
      <c r="S835" s="301"/>
      <c r="U835" s="152"/>
      <c r="X835" s="152"/>
    </row>
    <row r="836" spans="1:24" ht="15" hidden="1">
      <c r="A836" s="250"/>
      <c r="B836" s="274"/>
      <c r="C836" s="274" t="s">
        <v>391</v>
      </c>
      <c r="E836" s="152">
        <f>485000-485000</f>
        <v>0</v>
      </c>
      <c r="F836" s="240"/>
      <c r="G836" s="291"/>
      <c r="H836" s="152"/>
      <c r="I836" s="152"/>
      <c r="J836" s="151"/>
      <c r="K836" s="151"/>
      <c r="L836" s="290"/>
      <c r="N836" s="152"/>
      <c r="S836" s="301"/>
      <c r="U836" s="152"/>
      <c r="X836" s="152"/>
    </row>
    <row r="837" spans="1:24" ht="15">
      <c r="A837" s="250"/>
      <c r="B837" s="274"/>
      <c r="C837" s="250" t="s">
        <v>1444</v>
      </c>
      <c r="D837" s="250"/>
      <c r="E837" s="240">
        <f>500-45000+45000</f>
        <v>500</v>
      </c>
      <c r="F837" s="240" t="s">
        <v>1445</v>
      </c>
      <c r="G837" s="305">
        <v>6364.8</v>
      </c>
      <c r="H837" s="151"/>
      <c r="I837" s="248"/>
      <c r="J837" s="248"/>
      <c r="K837" s="151"/>
      <c r="L837" s="290"/>
      <c r="N837" s="152"/>
      <c r="R837" s="247"/>
      <c r="S837" s="152"/>
      <c r="U837" s="246">
        <f>SUM(U807:U829)</f>
        <v>0</v>
      </c>
      <c r="X837" s="152"/>
    </row>
    <row r="838" spans="1:24" ht="15.75" thickBot="1">
      <c r="A838" s="250"/>
      <c r="B838" s="274"/>
      <c r="C838" s="250" t="s">
        <v>1446</v>
      </c>
      <c r="D838" s="250"/>
      <c r="E838" s="240">
        <v>214951.74</v>
      </c>
      <c r="F838" s="240"/>
      <c r="G838" s="291"/>
      <c r="H838" s="151"/>
      <c r="I838" s="272"/>
      <c r="J838" s="298"/>
      <c r="K838" s="151"/>
      <c r="L838" s="290"/>
      <c r="N838" s="306"/>
      <c r="S838" s="152"/>
      <c r="U838" s="152"/>
      <c r="X838" s="152"/>
    </row>
    <row r="839" spans="1:24" ht="15">
      <c r="A839" s="250"/>
      <c r="B839" s="274"/>
      <c r="C839" s="250" t="s">
        <v>1447</v>
      </c>
      <c r="D839" s="250"/>
      <c r="E839" s="240">
        <v>192958</v>
      </c>
      <c r="F839" s="240"/>
      <c r="G839" s="291"/>
      <c r="H839" s="151"/>
      <c r="I839" s="248"/>
      <c r="J839" s="298"/>
      <c r="K839" s="151"/>
      <c r="L839" s="290"/>
      <c r="S839" s="304"/>
      <c r="U839" s="246">
        <f>SUM(U813:U838)</f>
        <v>0</v>
      </c>
      <c r="X839" s="152"/>
    </row>
    <row r="840" spans="1:24" ht="15">
      <c r="A840" s="250"/>
      <c r="B840" s="274"/>
      <c r="C840" s="274" t="s">
        <v>1448</v>
      </c>
      <c r="E840" s="151">
        <f>3250000-3249000+6750000-6750000</f>
        <v>1000</v>
      </c>
      <c r="F840" s="240"/>
      <c r="G840" s="291"/>
      <c r="H840" s="248"/>
      <c r="I840" s="248"/>
      <c r="J840" s="272"/>
      <c r="K840" s="246"/>
      <c r="L840" s="151"/>
      <c r="S840" s="249"/>
      <c r="U840" s="152"/>
      <c r="X840" s="152"/>
    </row>
    <row r="841" spans="1:24" ht="15" hidden="1">
      <c r="A841" s="250"/>
      <c r="B841" s="274"/>
      <c r="C841" s="274" t="s">
        <v>1449</v>
      </c>
      <c r="E841" s="151">
        <f>10000000+2000000-120000-11880000</f>
        <v>0</v>
      </c>
      <c r="F841" s="240"/>
      <c r="G841" s="291"/>
      <c r="H841" s="248"/>
      <c r="I841" s="248"/>
      <c r="J841" s="272"/>
      <c r="K841" s="246"/>
      <c r="L841" s="151"/>
      <c r="S841" s="249"/>
      <c r="U841" s="152"/>
      <c r="X841" s="152"/>
    </row>
    <row r="842" spans="1:24" ht="15">
      <c r="A842" s="250"/>
      <c r="B842" s="274"/>
      <c r="C842" s="250" t="s">
        <v>1450</v>
      </c>
      <c r="D842" s="250"/>
      <c r="E842" s="240">
        <f>100000-9500-30145.5-17905-31308-1800-1500-1600-410-2831.5+500000-160263.2-133910-4400-5836-113199-5850-8035-27500</f>
        <v>44006.799999999988</v>
      </c>
      <c r="F842" s="240"/>
      <c r="G842" s="291">
        <v>86592.69</v>
      </c>
      <c r="H842" s="248"/>
      <c r="I842" s="248"/>
      <c r="J842" s="301"/>
      <c r="K842" s="248"/>
      <c r="L842" s="151"/>
      <c r="S842" s="259"/>
      <c r="T842" s="234" t="s">
        <v>1451</v>
      </c>
      <c r="U842" s="253"/>
      <c r="X842" s="152"/>
    </row>
    <row r="843" spans="1:24" ht="15" hidden="1">
      <c r="A843" s="250"/>
      <c r="B843" s="274"/>
      <c r="C843" s="250" t="s">
        <v>1452</v>
      </c>
      <c r="D843" s="250"/>
      <c r="E843" s="240">
        <f>540000-540000</f>
        <v>0</v>
      </c>
      <c r="F843" s="240"/>
      <c r="G843" s="291"/>
      <c r="H843" s="248"/>
      <c r="I843" s="248"/>
      <c r="J843" s="301"/>
      <c r="K843" s="248"/>
      <c r="L843" s="152"/>
      <c r="S843" s="151"/>
      <c r="U843" s="253"/>
      <c r="X843" s="152"/>
    </row>
    <row r="844" spans="1:24" ht="15">
      <c r="A844" s="250"/>
      <c r="B844" s="274"/>
      <c r="C844" s="250" t="s">
        <v>1453</v>
      </c>
      <c r="D844" s="250"/>
      <c r="E844" s="240">
        <v>342</v>
      </c>
      <c r="F844" s="240"/>
      <c r="G844" s="291">
        <v>88656.97</v>
      </c>
      <c r="H844" s="307"/>
      <c r="I844" s="272"/>
      <c r="J844" s="298"/>
      <c r="K844" s="248"/>
      <c r="L844" s="152"/>
      <c r="S844" s="296"/>
      <c r="U844" s="152"/>
      <c r="X844" s="152"/>
    </row>
    <row r="845" spans="1:24">
      <c r="A845" s="250"/>
      <c r="B845" s="274"/>
      <c r="C845" s="250" t="s">
        <v>1454</v>
      </c>
      <c r="D845" s="250"/>
      <c r="E845" s="240">
        <f>5000000-4538730-18592.88-57012.89-45400-10024.36-5744-103450-2672-175688.8-965-33810</f>
        <v>7910.070000000007</v>
      </c>
      <c r="F845" s="240"/>
      <c r="G845" s="291">
        <v>131723.46</v>
      </c>
      <c r="H845" s="248"/>
      <c r="I845" s="308"/>
      <c r="J845" s="151"/>
      <c r="K845" s="248"/>
      <c r="L845" s="152"/>
      <c r="S845" s="152"/>
      <c r="U845" s="152"/>
      <c r="X845" s="152"/>
    </row>
    <row r="846" spans="1:24">
      <c r="A846" s="250"/>
      <c r="B846" s="274"/>
      <c r="C846" s="250" t="s">
        <v>1455</v>
      </c>
      <c r="D846" s="250"/>
      <c r="E846" s="240">
        <f>5000000-1926800.54-2812080.89-90850-13230-3440.48-55000-147629.7+33810+44520-28116.12-170.14</f>
        <v>1012.1299999998113</v>
      </c>
      <c r="F846" s="240"/>
      <c r="G846" s="291">
        <v>65909.69</v>
      </c>
      <c r="H846" s="248"/>
      <c r="I846" s="248"/>
      <c r="J846" s="246"/>
      <c r="K846" s="248"/>
      <c r="L846" s="152"/>
      <c r="S846" s="152"/>
      <c r="U846" s="152"/>
      <c r="X846" s="152"/>
    </row>
    <row r="847" spans="1:24">
      <c r="A847" s="250"/>
      <c r="B847" s="274"/>
      <c r="C847" s="250" t="s">
        <v>1457</v>
      </c>
      <c r="D847" s="250"/>
      <c r="E847" s="240">
        <f>577500+50000+660000-1287500+412500-411079.65</f>
        <v>1420.3499999999767</v>
      </c>
      <c r="F847" s="240"/>
      <c r="G847" s="291">
        <v>38924.239999999998</v>
      </c>
      <c r="H847" s="248"/>
      <c r="I847" s="248"/>
      <c r="J847" s="151"/>
      <c r="K847" s="248"/>
      <c r="L847" s="152"/>
      <c r="S847" s="253"/>
      <c r="U847" s="152"/>
      <c r="X847" s="249"/>
    </row>
    <row r="848" spans="1:24" ht="15">
      <c r="A848" s="250"/>
      <c r="B848" s="274"/>
      <c r="C848" s="274" t="s">
        <v>1458</v>
      </c>
      <c r="E848" s="151">
        <f>16648.92-1210.48-5412-6416.54-1442.8+36000-945.61-4200-4920-360-674.4-1527.15-4920-684.44-2767.35-5631.7-6018-1378.8-2559.69+36000-4920-960-8400-9310-4466.19-4152+36000-8384-7800-7800-6428.24-3523.03-6638.13-3212.76+2414.39+36000-15600+171100-7800-2240-5823.2-2521.46-7800-1935-998.98+90000-20556-7920-16500-9360-16500-5510-25780-12762.06-26460-350-350-23460-19369-32500-5579.85-30037.15-1515-819.65</f>
        <v>-2947.3500000000117</v>
      </c>
      <c r="F848" s="240"/>
      <c r="G848" s="291">
        <v>373741.23</v>
      </c>
      <c r="H848" s="248"/>
      <c r="I848" s="248"/>
      <c r="J848" s="309"/>
      <c r="K848" s="248"/>
      <c r="L848" s="152"/>
      <c r="R848" s="255"/>
      <c r="S848" s="152"/>
      <c r="U848" s="152"/>
      <c r="X848" s="299"/>
    </row>
    <row r="849" spans="1:24" ht="15" hidden="1">
      <c r="A849" s="250"/>
      <c r="B849" s="274"/>
      <c r="C849" s="274" t="s">
        <v>1459</v>
      </c>
      <c r="E849" s="151">
        <f>6700+5000-5000-6700</f>
        <v>0</v>
      </c>
      <c r="F849" s="240"/>
      <c r="G849" s="291">
        <v>123840.32000000001</v>
      </c>
      <c r="H849" s="248"/>
      <c r="I849" s="248"/>
      <c r="J849" s="151"/>
      <c r="K849" s="248"/>
      <c r="L849" s="152"/>
      <c r="R849" s="255"/>
      <c r="S849" s="152"/>
      <c r="U849" s="152"/>
      <c r="X849" s="299"/>
    </row>
    <row r="850" spans="1:24" ht="15">
      <c r="A850" s="250"/>
      <c r="B850" s="274"/>
      <c r="C850" s="274" t="s">
        <v>1460</v>
      </c>
      <c r="E850" s="151">
        <f>24973.37-1814.85-8118-9625.82-2164.2+54000-1418.42-6300-540-7380-1011.6-2290.72-7380-1026.67-4151.01-8447.55-12022.34-2068.2-3213.99+54000-7380-4025.75-1440-12600-13220-12927.28+0.01+54000-12500-11700-11700-4452.35-9595.09-5846.64-4819.15+4206.25+54000-23400-11700-3360-3782.19-11700</f>
        <v>57.809999999992215</v>
      </c>
      <c r="F850" s="240"/>
      <c r="G850" s="291">
        <v>67750.259999999995</v>
      </c>
      <c r="H850" s="248"/>
      <c r="I850" s="248"/>
      <c r="J850" s="151"/>
      <c r="K850" s="248"/>
      <c r="L850" s="152"/>
      <c r="R850" s="255"/>
      <c r="S850" s="152"/>
      <c r="U850" s="152"/>
      <c r="X850" s="299"/>
    </row>
    <row r="851" spans="1:24" ht="15" hidden="1">
      <c r="A851" s="250"/>
      <c r="B851" s="274"/>
      <c r="C851" s="274" t="s">
        <v>1461</v>
      </c>
      <c r="E851" s="151">
        <f>60300+45000-45000-60300</f>
        <v>0</v>
      </c>
      <c r="F851" s="240"/>
      <c r="G851" s="291">
        <v>341357.29</v>
      </c>
      <c r="H851" s="248"/>
      <c r="I851" s="248"/>
      <c r="J851" s="151"/>
      <c r="K851" s="248"/>
      <c r="L851" s="152"/>
      <c r="R851" s="255"/>
      <c r="S851" s="152"/>
      <c r="U851" s="152"/>
      <c r="X851" s="299"/>
    </row>
    <row r="852" spans="1:24" ht="15">
      <c r="A852" s="250"/>
      <c r="B852" s="274"/>
      <c r="C852" s="274" t="s">
        <v>1462</v>
      </c>
      <c r="E852" s="151">
        <f>622782-192925.2-146398-72272.45-211185</f>
        <v>1.3499999999767169</v>
      </c>
      <c r="F852" s="240"/>
      <c r="G852" s="291">
        <v>90588.21</v>
      </c>
      <c r="H852" s="248"/>
      <c r="I852" s="248"/>
      <c r="J852" s="151"/>
      <c r="K852" s="248"/>
      <c r="L852" s="152"/>
      <c r="R852" s="255"/>
      <c r="S852" s="152"/>
      <c r="U852" s="152"/>
      <c r="X852" s="299"/>
    </row>
    <row r="853" spans="1:24" ht="15" hidden="1">
      <c r="A853" s="250"/>
      <c r="B853" s="274"/>
      <c r="C853" s="250" t="s">
        <v>1463</v>
      </c>
      <c r="D853" s="250"/>
      <c r="E853" s="240">
        <f>2400000-2170081-228904.89-1014.11</f>
        <v>-1.3983481039758772E-11</v>
      </c>
      <c r="F853" s="240"/>
      <c r="G853" s="291"/>
      <c r="H853" s="248"/>
      <c r="I853" s="248"/>
      <c r="J853" s="151"/>
      <c r="K853" s="248"/>
      <c r="L853" s="152"/>
      <c r="R853" s="255"/>
      <c r="S853" s="152"/>
      <c r="U853" s="152"/>
      <c r="X853" s="299"/>
    </row>
    <row r="854" spans="1:24" ht="15" hidden="1">
      <c r="A854" s="250"/>
      <c r="B854" s="274"/>
      <c r="C854" s="250" t="s">
        <v>1464</v>
      </c>
      <c r="D854" s="250"/>
      <c r="E854" s="240">
        <f>7600000-7212296.99-383788.84-1477.6-190.68-2245.89</f>
        <v>-2.4874680093489587E-10</v>
      </c>
      <c r="F854" s="240"/>
      <c r="G854" s="291"/>
      <c r="H854" s="310"/>
      <c r="I854" s="311"/>
      <c r="J854" s="151"/>
      <c r="K854" s="248"/>
      <c r="L854" s="152"/>
      <c r="R854" s="255"/>
      <c r="S854" s="152"/>
      <c r="U854" s="152"/>
      <c r="X854" s="299"/>
    </row>
    <row r="855" spans="1:24" ht="15">
      <c r="A855" s="250"/>
      <c r="B855" s="274"/>
      <c r="C855" s="250" t="s">
        <v>1465</v>
      </c>
      <c r="D855" s="250"/>
      <c r="E855" s="240">
        <f>5250000-6734-141384.1-4914.18-4331746.62-148076.34-594624.76-36388.44-16157.45+6000000-6000000+3750000-3375634.6-12880-115200.78-99364-21201.64-30414.29</f>
        <v>65278.800000000243</v>
      </c>
      <c r="F855" s="240"/>
      <c r="G855" s="291"/>
      <c r="H855" s="310"/>
      <c r="I855" s="311"/>
      <c r="J855" s="151"/>
      <c r="K855" s="248"/>
      <c r="L855" s="152"/>
      <c r="R855" s="255"/>
      <c r="S855" s="152"/>
      <c r="U855" s="152"/>
      <c r="X855" s="299"/>
    </row>
    <row r="856" spans="1:24" ht="15">
      <c r="A856" s="250"/>
      <c r="B856" s="274"/>
      <c r="C856" s="250" t="s">
        <v>753</v>
      </c>
      <c r="D856" s="250"/>
      <c r="E856" s="240">
        <f>3500000-115690-23328-3212973.69-129970.31+4370532.59-4065261.64+2129467.41-2185792.82-51060-60708.28-105043.25-2354-21966.94</f>
        <v>25851.07000000004</v>
      </c>
      <c r="F856" s="240"/>
      <c r="G856" s="291"/>
      <c r="H856" s="248"/>
      <c r="I856" s="248"/>
      <c r="J856" s="151"/>
      <c r="K856" s="248"/>
      <c r="L856" s="152"/>
      <c r="R856" s="255"/>
      <c r="S856" s="152"/>
      <c r="U856" s="152"/>
      <c r="X856" s="299"/>
    </row>
    <row r="857" spans="1:24" hidden="1">
      <c r="A857" s="250"/>
      <c r="B857" s="274"/>
      <c r="C857" s="250" t="s">
        <v>754</v>
      </c>
      <c r="D857" s="250"/>
      <c r="E857" s="240">
        <f>3400000-25000-17312.05-3000-5870-1794125.92-8820-1355770.54-61661.71-46837.93-12419.1-11645.46-9450-42992.4-5094.89</f>
        <v>2.319211489520967E-10</v>
      </c>
      <c r="F857" s="240"/>
      <c r="G857" s="291">
        <v>88716.15</v>
      </c>
      <c r="H857" s="248"/>
      <c r="I857" s="248"/>
      <c r="J857" s="151"/>
      <c r="K857" s="248"/>
      <c r="L857" s="152"/>
      <c r="S857" s="152"/>
      <c r="U857" s="253">
        <v>500000</v>
      </c>
    </row>
    <row r="858" spans="1:24" ht="15">
      <c r="A858" s="250"/>
      <c r="B858" s="274"/>
      <c r="C858" s="250" t="s">
        <v>363</v>
      </c>
      <c r="D858" s="250"/>
      <c r="E858" s="240">
        <f>1940000+1940000-3879999.98</f>
        <v>2.0000000018626451E-2</v>
      </c>
      <c r="F858" s="312" t="s">
        <v>213</v>
      </c>
      <c r="G858" s="291"/>
      <c r="H858" s="248"/>
      <c r="I858" s="248"/>
      <c r="J858" s="151"/>
      <c r="K858" s="248"/>
      <c r="L858" s="152"/>
      <c r="S858" s="152"/>
      <c r="U858" s="253"/>
    </row>
    <row r="859" spans="1:24" ht="15" hidden="1">
      <c r="A859" s="250"/>
      <c r="B859" s="274"/>
      <c r="C859" s="250" t="s">
        <v>364</v>
      </c>
      <c r="D859" s="250"/>
      <c r="E859" s="240">
        <f>1455000+1455000-2910000</f>
        <v>0</v>
      </c>
      <c r="F859" s="312" t="s">
        <v>213</v>
      </c>
      <c r="G859" s="291"/>
      <c r="H859" s="248"/>
      <c r="I859" s="248"/>
      <c r="J859" s="151"/>
      <c r="K859" s="248"/>
      <c r="L859" s="152"/>
      <c r="S859" s="152"/>
      <c r="U859" s="253"/>
    </row>
    <row r="860" spans="1:24" ht="15" hidden="1">
      <c r="A860" s="250"/>
      <c r="B860" s="274"/>
      <c r="C860" s="250" t="s">
        <v>365</v>
      </c>
      <c r="D860" s="250"/>
      <c r="E860" s="240">
        <f>1455000+1455000-2910000</f>
        <v>0</v>
      </c>
      <c r="F860" s="312" t="s">
        <v>213</v>
      </c>
      <c r="G860" s="291"/>
      <c r="H860" s="248"/>
      <c r="I860" s="248"/>
      <c r="J860" s="151"/>
      <c r="K860" s="248"/>
      <c r="L860" s="152"/>
      <c r="S860" s="152"/>
      <c r="U860" s="253"/>
    </row>
    <row r="861" spans="1:24">
      <c r="A861" s="250"/>
      <c r="B861" s="274"/>
      <c r="C861" s="250" t="s">
        <v>1744</v>
      </c>
      <c r="D861" s="250"/>
      <c r="E861" s="240">
        <f>8900000-25000-28600-6922881.56-113640.36-24380.39-124960-87403-46952-19886-84290.94-27720-1200000-20248.22-16351.5-28600-96012</f>
        <v>33074.030000000464</v>
      </c>
      <c r="F861" s="240"/>
      <c r="G861" s="291">
        <v>230399.89</v>
      </c>
      <c r="H861" s="248"/>
      <c r="I861" s="248"/>
      <c r="J861" s="151"/>
      <c r="K861" s="248"/>
      <c r="L861" s="152"/>
      <c r="S861" s="246"/>
      <c r="U861" s="152"/>
    </row>
    <row r="862" spans="1:24" ht="15" hidden="1" thickBot="1">
      <c r="A862" s="250"/>
      <c r="B862" s="274"/>
      <c r="C862" s="250" t="s">
        <v>1745</v>
      </c>
      <c r="D862" s="250"/>
      <c r="E862" s="240">
        <f>5100000-11253.25-31920-70918.51-2612229.62-20247.02-22530-2239425.67-40628.92-14280-32095-725.1-3746.91</f>
        <v>1.6962076188065112E-10</v>
      </c>
      <c r="F862" s="240"/>
      <c r="G862" s="291">
        <v>443726.65</v>
      </c>
      <c r="H862" s="248"/>
      <c r="I862" s="248"/>
      <c r="J862" s="151"/>
      <c r="K862" s="248"/>
      <c r="L862" s="152"/>
      <c r="S862" s="313"/>
      <c r="T862" s="234" t="s">
        <v>1746</v>
      </c>
      <c r="U862" s="152"/>
    </row>
    <row r="863" spans="1:24" hidden="1">
      <c r="A863" s="250"/>
      <c r="B863" s="274"/>
      <c r="C863" s="250" t="s">
        <v>1747</v>
      </c>
      <c r="D863" s="250"/>
      <c r="E863" s="240">
        <f>2600000-7000-35135.87-2106698.94-58965.29-34594.2-351927.5-8560+8820-5000-938.2</f>
        <v>-4.6611603465862572E-11</v>
      </c>
      <c r="F863" s="240"/>
      <c r="G863" s="291">
        <v>39702.660000000003</v>
      </c>
      <c r="H863" s="248"/>
      <c r="I863" s="248"/>
      <c r="J863" s="151"/>
      <c r="K863" s="248"/>
      <c r="L863" s="152"/>
    </row>
    <row r="864" spans="1:24">
      <c r="A864" s="250"/>
      <c r="B864" s="274"/>
      <c r="C864" s="274" t="s">
        <v>1748</v>
      </c>
      <c r="E864" s="151">
        <f>1000000-843194.1-67897.5-3846.7-1820-320-3960-13260-34785-20900</f>
        <v>10016.700000000026</v>
      </c>
      <c r="F864" s="240"/>
      <c r="G864" s="291">
        <v>56787.67</v>
      </c>
      <c r="H864" s="248"/>
      <c r="I864" s="248"/>
      <c r="J864" s="151"/>
      <c r="K864" s="248"/>
      <c r="L864" s="152"/>
    </row>
    <row r="865" spans="1:17">
      <c r="A865" s="250"/>
      <c r="B865" s="274"/>
      <c r="C865" s="274" t="s">
        <v>1749</v>
      </c>
      <c r="E865" s="152">
        <f>89552-89000</f>
        <v>552</v>
      </c>
      <c r="F865" s="240"/>
      <c r="G865" s="291">
        <v>80520.22</v>
      </c>
      <c r="H865" s="248"/>
      <c r="I865" s="248"/>
      <c r="J865" s="151"/>
      <c r="K865" s="248"/>
      <c r="L865" s="152"/>
    </row>
    <row r="866" spans="1:17">
      <c r="A866" s="250"/>
      <c r="B866" s="274"/>
      <c r="C866" s="250" t="s">
        <v>1750</v>
      </c>
      <c r="D866" s="250"/>
      <c r="E866" s="240">
        <f>362.45-0.01</f>
        <v>362.44</v>
      </c>
      <c r="F866" s="240"/>
      <c r="G866" s="291">
        <v>130874.06</v>
      </c>
      <c r="H866" s="248"/>
      <c r="I866" s="248"/>
      <c r="J866" s="246"/>
      <c r="K866" s="248"/>
      <c r="L866" s="152"/>
    </row>
    <row r="867" spans="1:17">
      <c r="A867" s="250"/>
      <c r="B867" s="274"/>
      <c r="C867" s="250" t="s">
        <v>1751</v>
      </c>
      <c r="D867" s="250"/>
      <c r="E867" s="240">
        <f>258366.05-249052</f>
        <v>9314.0499999999884</v>
      </c>
      <c r="F867" s="240"/>
      <c r="G867" s="291">
        <f>SUM(G842:G866)</f>
        <v>2479811.66</v>
      </c>
      <c r="H867" s="248"/>
      <c r="I867" s="248"/>
      <c r="J867" s="246"/>
      <c r="K867" s="248"/>
      <c r="L867" s="152"/>
    </row>
    <row r="868" spans="1:17">
      <c r="A868" s="250"/>
      <c r="B868" s="274"/>
      <c r="C868" s="250" t="s">
        <v>1752</v>
      </c>
      <c r="D868" s="250"/>
      <c r="E868" s="240">
        <v>115435.34</v>
      </c>
      <c r="F868" s="240"/>
      <c r="G868" s="291">
        <v>47713</v>
      </c>
      <c r="H868" s="248"/>
      <c r="I868" s="248"/>
      <c r="J868" s="248"/>
      <c r="K868" s="248"/>
      <c r="L868" s="152"/>
    </row>
    <row r="869" spans="1:17">
      <c r="A869" s="250"/>
      <c r="B869" s="274"/>
      <c r="C869" s="250" t="s">
        <v>1753</v>
      </c>
      <c r="D869" s="250"/>
      <c r="E869" s="240">
        <v>5164.42</v>
      </c>
      <c r="F869" s="240" t="s">
        <v>1754</v>
      </c>
      <c r="G869" s="291">
        <v>3000</v>
      </c>
      <c r="H869" s="248"/>
      <c r="I869" s="248"/>
      <c r="J869" s="248"/>
      <c r="K869" s="248"/>
      <c r="L869" s="152"/>
    </row>
    <row r="870" spans="1:17">
      <c r="A870" s="250"/>
      <c r="B870" s="274"/>
      <c r="C870" s="274" t="s">
        <v>916</v>
      </c>
      <c r="E870" s="152">
        <f>150000-30000-5200-1200-1600-30000-4000-2892-1952-6386-10520-1182-50625-2305-1900</f>
        <v>238</v>
      </c>
      <c r="F870" s="240"/>
      <c r="G870" s="291">
        <v>268</v>
      </c>
      <c r="H870" s="248"/>
      <c r="I870" s="248"/>
      <c r="J870" s="248"/>
      <c r="K870" s="248"/>
      <c r="L870" s="152"/>
    </row>
    <row r="871" spans="1:17">
      <c r="A871" s="250"/>
      <c r="B871" s="274"/>
      <c r="C871" s="250" t="s">
        <v>917</v>
      </c>
      <c r="D871" s="250"/>
      <c r="E871" s="240">
        <v>57271.38</v>
      </c>
      <c r="F871" s="240"/>
      <c r="G871" s="291">
        <v>10000</v>
      </c>
      <c r="H871" s="248"/>
      <c r="I871" s="248"/>
      <c r="J871" s="248"/>
      <c r="K871" s="248"/>
      <c r="L871" s="152"/>
    </row>
    <row r="872" spans="1:17" ht="15" thickBot="1">
      <c r="A872" s="250"/>
      <c r="B872" s="274"/>
      <c r="C872" s="250" t="s">
        <v>918</v>
      </c>
      <c r="D872" s="250"/>
      <c r="E872" s="240">
        <f>2072.4+286461-286461+160000-18696-25000</f>
        <v>118376.40000000002</v>
      </c>
      <c r="F872" s="240"/>
      <c r="G872" s="291">
        <f>SUM(G867:G871)</f>
        <v>2540792.66</v>
      </c>
      <c r="H872" s="248"/>
      <c r="I872" s="248"/>
      <c r="J872" s="248"/>
      <c r="K872" s="248"/>
      <c r="L872" s="152"/>
      <c r="P872" s="314"/>
    </row>
    <row r="873" spans="1:17">
      <c r="A873" s="250"/>
      <c r="B873" s="274"/>
      <c r="C873" s="250" t="s">
        <v>919</v>
      </c>
      <c r="D873" s="250"/>
      <c r="E873" s="240">
        <v>25.97</v>
      </c>
      <c r="F873" s="240"/>
      <c r="G873" s="291"/>
      <c r="H873" s="248"/>
      <c r="I873" s="248"/>
      <c r="J873" s="248"/>
      <c r="K873" s="248"/>
      <c r="L873" s="152"/>
      <c r="O873" s="152">
        <v>20000</v>
      </c>
      <c r="P873" s="253"/>
      <c r="Q873" s="234" t="s">
        <v>920</v>
      </c>
    </row>
    <row r="874" spans="1:17">
      <c r="A874" s="250"/>
      <c r="B874" s="274"/>
      <c r="C874" s="250" t="s">
        <v>921</v>
      </c>
      <c r="D874" s="250"/>
      <c r="E874" s="240">
        <f>25000.72-24956.12</f>
        <v>44.600000000002183</v>
      </c>
      <c r="F874" s="240"/>
      <c r="G874" s="291"/>
      <c r="H874" s="248"/>
      <c r="I874" s="248"/>
      <c r="J874" s="248"/>
      <c r="K874" s="248"/>
      <c r="L874" s="315"/>
      <c r="P874" s="152"/>
    </row>
    <row r="875" spans="1:17">
      <c r="A875" s="250"/>
      <c r="B875" s="274"/>
      <c r="C875" s="274" t="s">
        <v>922</v>
      </c>
      <c r="E875" s="152">
        <f>100000-99115.42</f>
        <v>884.58000000000175</v>
      </c>
      <c r="F875" s="240"/>
      <c r="G875" s="291"/>
      <c r="H875" s="248"/>
      <c r="I875" s="248"/>
      <c r="J875" s="248"/>
      <c r="K875" s="248"/>
      <c r="L875" s="315"/>
      <c r="P875" s="152"/>
    </row>
    <row r="876" spans="1:17">
      <c r="A876" s="250"/>
      <c r="B876" s="274"/>
      <c r="C876" s="274" t="s">
        <v>923</v>
      </c>
      <c r="E876" s="152">
        <f>50000-10000-24998.05</f>
        <v>15001.95</v>
      </c>
      <c r="F876" s="240"/>
      <c r="G876" s="291"/>
      <c r="H876" s="248"/>
      <c r="I876" s="248"/>
      <c r="J876" s="248"/>
      <c r="K876" s="248"/>
      <c r="L876" s="315"/>
      <c r="P876" s="152"/>
    </row>
    <row r="877" spans="1:17">
      <c r="A877" s="250"/>
      <c r="B877" s="274"/>
      <c r="C877" s="234" t="s">
        <v>924</v>
      </c>
      <c r="E877" s="151">
        <v>22648.25</v>
      </c>
      <c r="F877" s="240"/>
      <c r="G877" s="291"/>
      <c r="H877" s="248"/>
      <c r="I877" s="248"/>
      <c r="J877" s="248"/>
      <c r="K877" s="316"/>
      <c r="L877" s="152"/>
      <c r="P877" s="152"/>
    </row>
    <row r="878" spans="1:17">
      <c r="A878" s="250"/>
      <c r="B878" s="274"/>
      <c r="C878" s="274" t="s">
        <v>1058</v>
      </c>
      <c r="E878" s="152">
        <f>1965000-365364.25-150000-68423-2803-151542-20025-150930+10593-54024-832238-22312-160-9747-5250-16751-9620-18665-14000+35</f>
        <v>83773.75</v>
      </c>
      <c r="F878" s="240"/>
      <c r="G878" s="291"/>
      <c r="H878" s="317"/>
      <c r="I878" s="248"/>
      <c r="J878" s="248"/>
      <c r="K878" s="308"/>
      <c r="L878" s="152"/>
      <c r="P878" s="253"/>
      <c r="Q878" s="234" t="s">
        <v>1059</v>
      </c>
    </row>
    <row r="879" spans="1:17">
      <c r="A879" s="250"/>
      <c r="B879" s="274"/>
      <c r="C879" s="274" t="s">
        <v>1060</v>
      </c>
      <c r="E879" s="151">
        <f>2163738-999509.2-252538-250490-182482-56500-8100-25000-34527-39840</f>
        <v>314751.80000000005</v>
      </c>
      <c r="F879" s="240"/>
      <c r="G879" s="291"/>
      <c r="H879" s="248"/>
      <c r="I879" s="248"/>
      <c r="J879" s="248"/>
      <c r="K879" s="248"/>
      <c r="L879" s="315"/>
      <c r="P879" s="253"/>
    </row>
    <row r="880" spans="1:17">
      <c r="A880" s="250"/>
      <c r="B880" s="274"/>
      <c r="C880" s="274" t="s">
        <v>1060</v>
      </c>
      <c r="E880" s="152">
        <f>3250000-3900-389336-226375.2-269263-24790-493298.4-26870-78188.98-11780+0.5-13975.64-49009.25-275000-120680.15-10305-6420-12919.4-136250-395933.75-2204-355984-9321-25001-10593-286461</f>
        <v>16141.730000000214</v>
      </c>
      <c r="F880" s="240"/>
      <c r="G880" s="318"/>
      <c r="H880" s="151"/>
      <c r="I880" s="246"/>
      <c r="J880" s="248"/>
      <c r="K880" s="308"/>
      <c r="L880" s="315"/>
      <c r="P880" s="253"/>
    </row>
    <row r="881" spans="1:16" ht="15">
      <c r="A881" s="250"/>
      <c r="B881" s="274"/>
      <c r="C881" s="274" t="s">
        <v>1061</v>
      </c>
      <c r="E881" s="152">
        <f>400000-184300.88-32200-1305-17891.91-20000-74590-29991.5-5911</f>
        <v>33809.709999999992</v>
      </c>
      <c r="F881" s="240">
        <v>5911</v>
      </c>
      <c r="G881" s="291"/>
      <c r="H881" s="301"/>
      <c r="I881" s="248"/>
      <c r="J881" s="248"/>
      <c r="K881" s="248"/>
      <c r="L881" s="152"/>
      <c r="P881" s="304"/>
    </row>
    <row r="882" spans="1:16" ht="15" hidden="1">
      <c r="A882" s="250"/>
      <c r="B882" s="274"/>
      <c r="C882" s="274" t="s">
        <v>1755</v>
      </c>
      <c r="E882" s="152">
        <f>7052076+5048721-200000-11900797</f>
        <v>0</v>
      </c>
      <c r="F882" s="240"/>
      <c r="G882" s="248"/>
      <c r="H882" s="317"/>
      <c r="I882" s="319"/>
      <c r="J882" s="151"/>
      <c r="K882" s="248"/>
      <c r="L882" s="152"/>
      <c r="P882" s="304"/>
    </row>
    <row r="883" spans="1:16">
      <c r="A883" s="250"/>
      <c r="B883" s="274"/>
      <c r="C883" s="274" t="s">
        <v>1756</v>
      </c>
      <c r="E883" s="152">
        <f>50000-21000</f>
        <v>29000</v>
      </c>
      <c r="F883" s="240"/>
      <c r="G883" s="248"/>
      <c r="H883" s="248"/>
      <c r="I883" s="248"/>
      <c r="J883" s="151"/>
      <c r="K883" s="248"/>
      <c r="L883" s="152"/>
      <c r="P883" s="304"/>
    </row>
    <row r="884" spans="1:16">
      <c r="A884" s="250"/>
      <c r="B884" s="274"/>
      <c r="C884" s="234" t="s">
        <v>1757</v>
      </c>
      <c r="E884" s="152">
        <v>42256</v>
      </c>
      <c r="F884" s="240"/>
      <c r="G884" s="248"/>
      <c r="H884" s="309"/>
      <c r="I884" s="248"/>
      <c r="J884" s="151"/>
      <c r="K884" s="248"/>
      <c r="L884" s="152"/>
      <c r="P884" s="152"/>
    </row>
    <row r="885" spans="1:16">
      <c r="A885" s="250"/>
      <c r="B885" s="274"/>
      <c r="C885" s="274" t="s">
        <v>1758</v>
      </c>
      <c r="E885" s="152">
        <f>320000-230989.5</f>
        <v>89010.5</v>
      </c>
      <c r="F885" s="152"/>
      <c r="G885" s="291"/>
      <c r="I885" s="320"/>
      <c r="J885" s="152"/>
      <c r="L885" s="152"/>
      <c r="P885" s="152"/>
    </row>
    <row r="886" spans="1:16" hidden="1">
      <c r="A886" s="250"/>
      <c r="B886" s="274"/>
      <c r="C886" s="274" t="s">
        <v>1759</v>
      </c>
      <c r="E886" s="152">
        <f>1000000-1000000</f>
        <v>0</v>
      </c>
      <c r="F886" s="152"/>
      <c r="G886" s="291"/>
      <c r="H886" s="249"/>
      <c r="J886" s="253"/>
      <c r="L886" s="152"/>
      <c r="P886" s="152"/>
    </row>
    <row r="887" spans="1:16">
      <c r="A887" s="250"/>
      <c r="B887" s="274"/>
      <c r="C887" s="274" t="s">
        <v>1760</v>
      </c>
      <c r="E887" s="152">
        <f>2000000-1998957</f>
        <v>1043</v>
      </c>
      <c r="F887" s="152"/>
      <c r="G887" s="291"/>
      <c r="H887" s="249"/>
      <c r="J887" s="253"/>
      <c r="L887" s="152"/>
      <c r="P887" s="152"/>
    </row>
    <row r="888" spans="1:16" hidden="1">
      <c r="A888" s="250"/>
      <c r="B888" s="274"/>
      <c r="C888" s="274" t="s">
        <v>1761</v>
      </c>
      <c r="E888" s="152">
        <f>200000-200000</f>
        <v>0</v>
      </c>
      <c r="F888" s="152"/>
      <c r="G888" s="291"/>
      <c r="H888" s="249"/>
      <c r="J888" s="253"/>
      <c r="L888" s="152"/>
      <c r="P888" s="152"/>
    </row>
    <row r="889" spans="1:16">
      <c r="A889" s="250"/>
      <c r="B889" s="274"/>
      <c r="C889" s="274" t="s">
        <v>544</v>
      </c>
      <c r="E889" s="152">
        <f>8000000-7995709</f>
        <v>4291</v>
      </c>
      <c r="F889" s="152"/>
      <c r="G889" s="291"/>
      <c r="H889" s="249"/>
      <c r="J889" s="253"/>
      <c r="L889" s="152"/>
      <c r="P889" s="152"/>
    </row>
    <row r="890" spans="1:16">
      <c r="A890" s="250"/>
      <c r="B890" s="274"/>
      <c r="C890" s="274" t="s">
        <v>545</v>
      </c>
      <c r="E890" s="152">
        <v>17178.32</v>
      </c>
      <c r="F890" s="152"/>
      <c r="G890" s="291"/>
      <c r="H890" s="249"/>
      <c r="J890" s="253"/>
      <c r="L890" s="152"/>
      <c r="P890" s="152"/>
    </row>
    <row r="891" spans="1:16">
      <c r="A891" s="250"/>
      <c r="B891" s="274"/>
      <c r="C891" s="250" t="s">
        <v>1762</v>
      </c>
      <c r="D891" s="250"/>
      <c r="E891" s="240">
        <f>10000+300000-300000+656100</f>
        <v>666100</v>
      </c>
      <c r="F891" s="152"/>
      <c r="G891" s="291"/>
      <c r="H891" s="249"/>
      <c r="J891" s="253"/>
      <c r="L891" s="152"/>
      <c r="P891" s="152"/>
    </row>
    <row r="892" spans="1:16">
      <c r="A892" s="250"/>
      <c r="B892" s="274"/>
      <c r="C892" s="274" t="s">
        <v>1763</v>
      </c>
      <c r="E892" s="152">
        <v>126461</v>
      </c>
      <c r="F892" s="152"/>
      <c r="L892" s="152"/>
      <c r="P892" s="152"/>
    </row>
    <row r="893" spans="1:16">
      <c r="A893" s="250"/>
      <c r="B893" s="274"/>
      <c r="C893" s="274" t="s">
        <v>1068</v>
      </c>
      <c r="E893" s="152">
        <f>259000-199349-6195-25000</f>
        <v>28456</v>
      </c>
      <c r="F893" s="152"/>
      <c r="G893" s="291"/>
      <c r="J893" s="249"/>
      <c r="L893" s="152"/>
      <c r="P893" s="152"/>
    </row>
    <row r="894" spans="1:16">
      <c r="A894" s="250"/>
      <c r="B894" s="274"/>
      <c r="C894" s="274" t="s">
        <v>1069</v>
      </c>
      <c r="E894" s="152">
        <f>1003578.39-14842-104250-14863.59-18261.17+1003578.39-686780-7361.22-181311.5-14535.04-118200-107501.4-110990-15330-306868-23000-33810-44520-9966.94-19700+959421.49-13783.85-16300-3725.25-45239.19-221288.24+2500000-278000-111073.63-682311-139426.14-730680-221500+326494.69+165310.36+303890.44+163726-2400-500000-32550-49749.6-200000-250000-8238.3-50059.48-30172.1-596-407750-10000-13750-4000-15000-46020-223179.09-126200-2128.6-3600-71.4-4637.9</f>
        <v>150479.12999999957</v>
      </c>
      <c r="F894" s="152"/>
      <c r="G894" s="291"/>
      <c r="J894" s="152"/>
      <c r="L894" s="152"/>
      <c r="P894" s="152"/>
    </row>
    <row r="895" spans="1:16">
      <c r="A895" s="250"/>
      <c r="B895" s="274"/>
      <c r="C895" s="274" t="s">
        <v>2554</v>
      </c>
      <c r="E895" s="152">
        <f>2500000-57608-511830.14-16880-263912-783773.52-123144.04-28812-53013.76-1500-18833.23-3500-48561-4300-16187</f>
        <v>568145.30999999982</v>
      </c>
      <c r="F895" s="152"/>
      <c r="G895" s="291"/>
      <c r="J895" s="152"/>
      <c r="L895" s="152"/>
      <c r="P895" s="152"/>
    </row>
    <row r="896" spans="1:16">
      <c r="A896" s="250"/>
      <c r="B896" s="274"/>
      <c r="C896" s="274" t="s">
        <v>2555</v>
      </c>
      <c r="E896" s="152">
        <f>523109.71+407977.85-2700-33323.95-105091.77-32980.51-61398.61-425100-113640-143412.5-3260-9780</f>
        <v>400.22000000008848</v>
      </c>
      <c r="F896" s="152"/>
      <c r="G896" s="291"/>
      <c r="J896" s="152"/>
      <c r="L896" s="152"/>
      <c r="P896" s="152"/>
    </row>
    <row r="897" spans="1:16">
      <c r="A897" s="250"/>
      <c r="B897" s="274"/>
      <c r="C897" s="274" t="s">
        <v>1468</v>
      </c>
      <c r="E897" s="152">
        <f>523109.71-270000-19157.93-141200-7200-38640-34282.17</f>
        <v>12629.61000000003</v>
      </c>
      <c r="F897" s="152"/>
      <c r="G897" s="291"/>
      <c r="J897" s="152"/>
      <c r="L897" s="152"/>
      <c r="P897" s="152"/>
    </row>
    <row r="898" spans="1:16">
      <c r="A898" s="250"/>
      <c r="B898" s="274"/>
      <c r="C898" s="274" t="s">
        <v>1469</v>
      </c>
      <c r="E898" s="152">
        <f>407977.84-229200-32002.22-100000-20240</f>
        <v>26535.620000000024</v>
      </c>
      <c r="F898" s="152"/>
      <c r="G898" s="291"/>
      <c r="J898" s="152"/>
      <c r="L898" s="152"/>
      <c r="P898" s="152"/>
    </row>
    <row r="899" spans="1:16">
      <c r="A899" s="250"/>
      <c r="B899" s="274"/>
      <c r="C899" s="274" t="s">
        <v>1883</v>
      </c>
      <c r="E899" s="152">
        <f>1065936-498760.84-1800-197500-20822.97-332423.5</f>
        <v>14628.689999999944</v>
      </c>
      <c r="F899" s="152"/>
      <c r="G899" s="291"/>
      <c r="J899" s="152"/>
      <c r="L899" s="152"/>
      <c r="P899" s="152"/>
    </row>
    <row r="900" spans="1:16">
      <c r="A900" s="250"/>
      <c r="B900" s="274"/>
      <c r="C900" s="274" t="s">
        <v>1070</v>
      </c>
      <c r="E900" s="152">
        <f>370824.65-370309.25+2012870.61-1967312.5-14442.04-3600-8904.5-4200-1400-2559-8820+88501.52</f>
        <v>90649.490000000253</v>
      </c>
      <c r="F900" s="152"/>
      <c r="G900" s="291"/>
      <c r="J900" s="296"/>
      <c r="L900" s="152"/>
      <c r="P900" s="152"/>
    </row>
    <row r="901" spans="1:16">
      <c r="A901" s="250"/>
      <c r="B901" s="274"/>
      <c r="C901" s="234" t="s">
        <v>930</v>
      </c>
      <c r="E901" s="152">
        <f>2507.32+51000+50000-50000-51000</f>
        <v>2507.320000000007</v>
      </c>
      <c r="F901" s="152"/>
      <c r="G901" s="291"/>
      <c r="L901" s="152"/>
      <c r="P901" s="152"/>
    </row>
    <row r="902" spans="1:16">
      <c r="A902" s="250"/>
      <c r="B902" s="274"/>
      <c r="C902" s="250" t="s">
        <v>931</v>
      </c>
      <c r="D902" s="250"/>
      <c r="E902" s="240">
        <f>1180.52+5-20043.48+20043.48</f>
        <v>1185.5200000000004</v>
      </c>
      <c r="F902" s="152"/>
      <c r="G902" s="291"/>
      <c r="H902" s="152">
        <v>1650000</v>
      </c>
      <c r="L902" s="152"/>
      <c r="P902" s="152"/>
    </row>
    <row r="903" spans="1:16">
      <c r="A903" s="250"/>
      <c r="B903" s="274"/>
      <c r="C903" s="274" t="s">
        <v>932</v>
      </c>
      <c r="E903" s="152">
        <f>34446.95-33935</f>
        <v>511.94999999999709</v>
      </c>
      <c r="F903" s="152"/>
      <c r="G903" s="291"/>
      <c r="H903" s="152">
        <v>49749.599999999999</v>
      </c>
      <c r="L903" s="152"/>
      <c r="P903" s="152"/>
    </row>
    <row r="904" spans="1:16">
      <c r="A904" s="250"/>
      <c r="B904" s="274"/>
      <c r="C904" s="250" t="s">
        <v>933</v>
      </c>
      <c r="D904" s="250"/>
      <c r="E904" s="240">
        <v>157403.29999999999</v>
      </c>
      <c r="F904" s="246"/>
      <c r="G904" s="291"/>
      <c r="H904" s="152">
        <v>34083.29</v>
      </c>
      <c r="L904" s="152"/>
      <c r="P904" s="246"/>
    </row>
    <row r="905" spans="1:16">
      <c r="A905" s="250"/>
      <c r="B905" s="274"/>
      <c r="C905" s="250" t="s">
        <v>934</v>
      </c>
      <c r="D905" s="250"/>
      <c r="E905" s="240">
        <v>60151.18</v>
      </c>
      <c r="F905" s="246"/>
      <c r="G905" s="291"/>
      <c r="H905" s="152">
        <v>39590</v>
      </c>
      <c r="L905" s="152"/>
      <c r="M905" s="321"/>
      <c r="O905" s="249"/>
      <c r="P905" s="246"/>
    </row>
    <row r="906" spans="1:16">
      <c r="A906" s="250"/>
      <c r="B906" s="274"/>
      <c r="C906" s="250" t="s">
        <v>1071</v>
      </c>
      <c r="D906" s="250"/>
      <c r="E906" s="240">
        <v>1846035.94</v>
      </c>
      <c r="F906" s="246" t="s">
        <v>1072</v>
      </c>
      <c r="G906" s="291"/>
      <c r="H906" s="152">
        <v>17633</v>
      </c>
      <c r="L906" s="152"/>
      <c r="P906" s="152"/>
    </row>
    <row r="907" spans="1:16" hidden="1">
      <c r="A907" s="250"/>
      <c r="B907" s="274"/>
      <c r="C907" s="250" t="s">
        <v>1073</v>
      </c>
      <c r="D907" s="250"/>
      <c r="E907" s="240">
        <f>600000-600000</f>
        <v>0</v>
      </c>
      <c r="F907" s="246"/>
      <c r="G907" s="291"/>
      <c r="H907" s="152"/>
      <c r="L907" s="152"/>
      <c r="P907" s="249"/>
    </row>
    <row r="908" spans="1:16">
      <c r="A908" s="250"/>
      <c r="B908" s="274"/>
      <c r="C908" s="250" t="s">
        <v>2557</v>
      </c>
      <c r="D908" s="250"/>
      <c r="E908" s="240">
        <f>10154.51+30-5542.07-30</f>
        <v>4612.4400000000005</v>
      </c>
      <c r="F908" s="246"/>
      <c r="G908" s="291"/>
      <c r="H908" s="152">
        <v>1600</v>
      </c>
      <c r="L908" s="152"/>
      <c r="P908" s="304"/>
    </row>
    <row r="909" spans="1:16" ht="15" thickBot="1">
      <c r="A909" s="250"/>
      <c r="B909" s="274"/>
      <c r="C909" s="250" t="s">
        <v>2558</v>
      </c>
      <c r="D909" s="250"/>
      <c r="E909" s="240">
        <f>801500-33346.86-22046.88-2680-58660.35-495000-117257.49-28010.57-8500</f>
        <v>35997.850000000028</v>
      </c>
      <c r="F909" s="246"/>
      <c r="G909" s="291"/>
      <c r="H909" s="152">
        <v>29000</v>
      </c>
      <c r="L909" s="152"/>
      <c r="P909" s="313"/>
    </row>
    <row r="910" spans="1:16" hidden="1">
      <c r="A910" s="250"/>
      <c r="B910" s="274"/>
      <c r="C910" s="234" t="s">
        <v>2559</v>
      </c>
      <c r="E910" s="152">
        <v>2631.45</v>
      </c>
      <c r="F910" s="246"/>
      <c r="G910" s="291"/>
      <c r="H910" s="152"/>
      <c r="L910" s="152"/>
    </row>
    <row r="911" spans="1:16">
      <c r="A911" s="250"/>
      <c r="B911" s="274"/>
      <c r="C911" s="274" t="s">
        <v>2560</v>
      </c>
      <c r="E911" s="152">
        <f>20839632.56+7125036+8282950-31065674.32+187294.01-162156.55+614835.08+299000+989121.75-4692182.26+46985.21-44000-39272.73-991.23-206830-6420+1115893.08-526406.85-756320-44351-378660+35603.85-1000-378160-285610-378160+834335.54-29500-38980-31000-62000-7550-37000+45785.41+13549.99</f>
        <v>1257797.5400000024</v>
      </c>
      <c r="F911" s="246"/>
      <c r="G911" s="291"/>
      <c r="H911" s="152">
        <v>3020</v>
      </c>
      <c r="L911" s="152"/>
      <c r="P911" s="322"/>
    </row>
    <row r="912" spans="1:16">
      <c r="A912" s="250"/>
      <c r="B912" s="274"/>
      <c r="C912" s="250" t="s">
        <v>2561</v>
      </c>
      <c r="D912" s="250"/>
      <c r="E912" s="240">
        <v>251230.1</v>
      </c>
      <c r="F912" s="246"/>
      <c r="G912" s="152"/>
      <c r="H912" s="152">
        <v>578536.52</v>
      </c>
      <c r="L912" s="152"/>
      <c r="P912" s="249"/>
    </row>
    <row r="913" spans="1:16">
      <c r="A913" s="250"/>
      <c r="B913" s="274"/>
      <c r="C913" s="250" t="s">
        <v>2562</v>
      </c>
      <c r="D913" s="250"/>
      <c r="E913" s="240">
        <f>11043044.63-191358.82-134708.63+6619248.78-5961142.53-810761.47-709897.47+638303.97+1461707.7+428693.35-1374252.23-436397.3</f>
        <v>10572479.979999997</v>
      </c>
      <c r="F913" s="246"/>
      <c r="H913" s="152">
        <f>+E913-G922</f>
        <v>-470564.6500000041</v>
      </c>
      <c r="K913" s="323"/>
      <c r="L913" s="253"/>
      <c r="P913" s="151"/>
    </row>
    <row r="914" spans="1:16">
      <c r="A914" s="250"/>
      <c r="B914" s="274"/>
      <c r="C914" s="250" t="s">
        <v>2563</v>
      </c>
      <c r="D914" s="250"/>
      <c r="E914" s="240">
        <v>18500</v>
      </c>
      <c r="F914" s="246"/>
      <c r="H914" s="152">
        <v>800030.22</v>
      </c>
      <c r="L914" s="152"/>
      <c r="P914" s="246"/>
    </row>
    <row r="915" spans="1:16" hidden="1">
      <c r="A915" s="250"/>
      <c r="B915" s="274"/>
      <c r="C915" s="250" t="s">
        <v>2564</v>
      </c>
      <c r="D915" s="250"/>
      <c r="E915" s="240">
        <f>90000-16662.75-9387.03-10000-2640-2000-206627.33+167000-800-8882.89</f>
        <v>1.4551915228366852E-11</v>
      </c>
      <c r="F915" s="246"/>
      <c r="G915" s="291"/>
      <c r="H915" s="152"/>
      <c r="L915" s="152"/>
      <c r="P915" s="259"/>
    </row>
    <row r="916" spans="1:16" ht="15" thickBot="1">
      <c r="A916" s="250"/>
      <c r="B916" s="274"/>
      <c r="C916" s="234" t="s">
        <v>2565</v>
      </c>
      <c r="E916" s="152">
        <v>223</v>
      </c>
      <c r="F916" s="246"/>
      <c r="G916" s="291"/>
      <c r="H916" s="152">
        <v>496874.08</v>
      </c>
      <c r="K916" s="255"/>
      <c r="L916" s="152"/>
      <c r="P916" s="313"/>
    </row>
    <row r="917" spans="1:16">
      <c r="A917" s="250"/>
      <c r="B917" s="274"/>
      <c r="C917" s="274" t="s">
        <v>2566</v>
      </c>
      <c r="E917" s="152">
        <f>462946.35</f>
        <v>462946.35</v>
      </c>
      <c r="F917" s="246"/>
      <c r="G917" s="291"/>
      <c r="H917" s="253">
        <v>1269649.67</v>
      </c>
      <c r="L917" s="152"/>
      <c r="P917" s="246"/>
    </row>
    <row r="918" spans="1:16">
      <c r="A918" s="250"/>
      <c r="B918" s="274"/>
      <c r="C918" s="274" t="s">
        <v>2567</v>
      </c>
      <c r="E918" s="152">
        <f>137715.83-75000-58470-4221</f>
        <v>24.829999999987194</v>
      </c>
      <c r="F918" s="246"/>
      <c r="G918" s="291"/>
      <c r="H918" s="324">
        <v>369846.74</v>
      </c>
      <c r="I918" s="323"/>
      <c r="J918" s="323"/>
      <c r="L918" s="315"/>
      <c r="P918" s="152"/>
    </row>
    <row r="919" spans="1:16">
      <c r="A919" s="250"/>
      <c r="B919" s="274"/>
      <c r="C919" s="274" t="s">
        <v>2568</v>
      </c>
      <c r="E919" s="152">
        <f>1000000-131923.7-23700-604173-162823.3-1462.86-71300-3790</f>
        <v>827.14000000005763</v>
      </c>
      <c r="F919" s="246"/>
      <c r="G919" s="291"/>
      <c r="H919" s="152">
        <v>3000</v>
      </c>
      <c r="L919" s="152"/>
      <c r="P919" s="152"/>
    </row>
    <row r="920" spans="1:16">
      <c r="A920" s="250"/>
      <c r="B920" s="274"/>
      <c r="C920" s="250" t="s">
        <v>2569</v>
      </c>
      <c r="D920" s="250"/>
      <c r="E920" s="240">
        <v>1654.54</v>
      </c>
      <c r="F920" s="246"/>
      <c r="G920" s="291"/>
      <c r="H920" s="152">
        <v>315122</v>
      </c>
      <c r="L920" s="152"/>
    </row>
    <row r="921" spans="1:16">
      <c r="A921" s="250"/>
      <c r="B921" s="274"/>
      <c r="C921" s="250" t="s">
        <v>2281</v>
      </c>
      <c r="D921" s="250"/>
      <c r="E921" s="240">
        <v>2511000</v>
      </c>
      <c r="F921" s="246"/>
      <c r="G921" s="291"/>
      <c r="H921" s="152"/>
      <c r="L921" s="152"/>
    </row>
    <row r="922" spans="1:16">
      <c r="A922" s="250"/>
      <c r="B922" s="274"/>
      <c r="C922" s="250" t="s">
        <v>2570</v>
      </c>
      <c r="D922" s="250"/>
      <c r="E922" s="240">
        <f>350000-874-1500-44340+100000-34850-141895-24750-4150-11196-1720-24750-15000-24750-7711-7860-1100-24750-2779-21150-24750-920-6550</f>
        <v>22655</v>
      </c>
      <c r="F922" s="246"/>
      <c r="G922" s="291">
        <v>11043044.630000001</v>
      </c>
      <c r="H922" s="152">
        <v>2100</v>
      </c>
      <c r="L922" s="152"/>
    </row>
    <row r="923" spans="1:16">
      <c r="A923" s="250"/>
      <c r="B923" s="274"/>
      <c r="C923" s="250" t="s">
        <v>1046</v>
      </c>
      <c r="D923" s="250"/>
      <c r="E923" s="240">
        <f>6576.09+5+69360.39+79455.31+80276.93+82161.37+73030.24+94687.99+84953.37+77453.09-50000-450000</f>
        <v>147959.77999999991</v>
      </c>
      <c r="F923" s="246"/>
      <c r="G923" s="291"/>
      <c r="H923" s="152">
        <v>400</v>
      </c>
      <c r="L923" s="152"/>
    </row>
    <row r="924" spans="1:16">
      <c r="A924" s="250"/>
      <c r="B924" s="274"/>
      <c r="C924" s="250" t="s">
        <v>1176</v>
      </c>
      <c r="D924" s="250"/>
      <c r="E924" s="240">
        <f>2000000+6500000-608450</f>
        <v>7891550</v>
      </c>
      <c r="F924" s="246"/>
      <c r="G924" s="291"/>
      <c r="H924" s="152"/>
      <c r="L924" s="152"/>
    </row>
    <row r="925" spans="1:16">
      <c r="A925" s="250"/>
      <c r="B925" s="274"/>
      <c r="C925" s="250" t="s">
        <v>1177</v>
      </c>
      <c r="D925" s="250"/>
      <c r="E925" s="240">
        <v>6000000</v>
      </c>
      <c r="F925" s="246"/>
      <c r="G925" s="291"/>
      <c r="H925" s="152"/>
      <c r="L925" s="152"/>
    </row>
    <row r="926" spans="1:16">
      <c r="A926" s="250"/>
      <c r="B926" s="274"/>
      <c r="C926" s="250" t="s">
        <v>1047</v>
      </c>
      <c r="D926" s="250"/>
      <c r="E926" s="240">
        <v>3841.5</v>
      </c>
      <c r="F926" s="246"/>
      <c r="G926" s="291"/>
      <c r="H926" s="152">
        <v>104000</v>
      </c>
      <c r="L926" s="152"/>
    </row>
    <row r="927" spans="1:16">
      <c r="A927" s="250"/>
      <c r="B927" s="274"/>
      <c r="C927" s="250" t="s">
        <v>1048</v>
      </c>
      <c r="D927" s="250"/>
      <c r="E927" s="240">
        <f>13119.82+7500-6166.3-7500</f>
        <v>6953.52</v>
      </c>
      <c r="F927" s="246"/>
      <c r="G927" s="291"/>
      <c r="H927" s="152">
        <v>773882.22</v>
      </c>
      <c r="L927" s="152"/>
    </row>
    <row r="928" spans="1:16">
      <c r="A928" s="250"/>
      <c r="B928" s="274"/>
      <c r="C928" s="250" t="s">
        <v>2535</v>
      </c>
      <c r="D928" s="250"/>
      <c r="E928" s="240">
        <v>1248.3800000000001</v>
      </c>
      <c r="F928" s="246"/>
      <c r="H928" s="152">
        <v>2200</v>
      </c>
      <c r="L928" s="152"/>
    </row>
    <row r="929" spans="1:17">
      <c r="A929" s="250"/>
      <c r="B929" s="274"/>
      <c r="C929" s="250" t="s">
        <v>2536</v>
      </c>
      <c r="D929" s="250"/>
      <c r="E929" s="240">
        <f>190.89+30</f>
        <v>220.89</v>
      </c>
      <c r="F929" s="246"/>
      <c r="G929" s="291"/>
      <c r="H929" s="152">
        <v>8100</v>
      </c>
      <c r="L929" s="152"/>
    </row>
    <row r="930" spans="1:17">
      <c r="A930" s="250"/>
      <c r="B930" s="274"/>
      <c r="C930" s="250" t="s">
        <v>2537</v>
      </c>
      <c r="D930" s="250"/>
      <c r="E930" s="240">
        <v>700.55</v>
      </c>
      <c r="F930" s="246"/>
      <c r="G930" s="325"/>
      <c r="H930" s="152">
        <v>24000</v>
      </c>
      <c r="L930" s="152"/>
    </row>
    <row r="931" spans="1:17">
      <c r="A931" s="250"/>
      <c r="B931" s="274"/>
      <c r="C931" s="274" t="s">
        <v>2538</v>
      </c>
      <c r="E931" s="151">
        <f>6419570.08-125000-81039.98-180376.6-91274.55-370000-50000-280000-240358.49+737245.34-120454.55+45555.1-45139-18240-99800-1070175.62-253500-53188.75-939000-8100+10000000-517000-38500-1850000-76242.11-2150000-36020</f>
        <v>8508960.870000001</v>
      </c>
      <c r="F931" s="326" t="s">
        <v>2539</v>
      </c>
      <c r="G931" s="291">
        <f>2262675.62+517000+38500+76242.11</f>
        <v>2894417.73</v>
      </c>
      <c r="H931" s="152">
        <v>166990</v>
      </c>
      <c r="L931" s="152"/>
    </row>
    <row r="932" spans="1:17">
      <c r="A932" s="250"/>
      <c r="B932" s="274"/>
      <c r="C932" s="274" t="s">
        <v>2540</v>
      </c>
      <c r="E932" s="152">
        <f>10000000-882050-87000-1497847-44762.5-199861-747000-666795.05-685994.15-99280.4+250000-400000-125000-45675-344960-39000-26000-500000-96728.59-330-229053-52.5-20000-375000</f>
        <v>3137610.8099999996</v>
      </c>
      <c r="F932" s="246"/>
      <c r="G932" s="291"/>
      <c r="H932" s="152">
        <v>47713</v>
      </c>
      <c r="L932" s="249"/>
    </row>
    <row r="933" spans="1:17" hidden="1">
      <c r="A933" s="250"/>
      <c r="B933" s="274"/>
      <c r="C933" s="234" t="s">
        <v>2541</v>
      </c>
      <c r="E933" s="152">
        <f>0.2-0.2</f>
        <v>0</v>
      </c>
      <c r="F933" s="246"/>
      <c r="G933" s="327" t="s">
        <v>2542</v>
      </c>
      <c r="H933" s="152"/>
      <c r="L933" s="296"/>
      <c r="M933" s="234" t="s">
        <v>2543</v>
      </c>
      <c r="O933" s="291" t="s">
        <v>2544</v>
      </c>
      <c r="P933" s="151"/>
      <c r="Q933" s="151"/>
    </row>
    <row r="934" spans="1:17" ht="15" hidden="1">
      <c r="A934" s="250"/>
      <c r="B934" s="274"/>
      <c r="C934" s="274" t="s">
        <v>2545</v>
      </c>
      <c r="E934" s="152">
        <f>400000-72755.8-172751.8-5800-78180-54034.39-10026+1552400-890494.54-50472-37744.68-135393.6-4180-22714.58-69822-12838.15-3040-2885-37445-3800-6000-71874.36-82938-37721-35838.96-6270-38400-8980.14</f>
        <v>-8.0035533756017685E-11</v>
      </c>
      <c r="F934" s="298"/>
      <c r="G934" s="291"/>
      <c r="H934" s="152"/>
      <c r="O934" s="291" t="s">
        <v>2546</v>
      </c>
      <c r="P934" s="152">
        <v>55000</v>
      </c>
      <c r="Q934" s="315" t="s">
        <v>2547</v>
      </c>
    </row>
    <row r="935" spans="1:17" ht="15">
      <c r="A935" s="250"/>
      <c r="B935" s="274"/>
      <c r="C935" s="274" t="s">
        <v>2548</v>
      </c>
      <c r="E935" s="152">
        <f>10801741.39-6605559.6+29761.27-67977.12-120-70413.87+10624.25-60797-17100+1789418.64-268236.04-93961.47-476-40500-835756.44-21156.1-64805-171750.57-1410096.72-114019.65-80506.26+590-243568.38-41090.41-248613.4-16150-8100-12540-220999+7500-267642.2-230833.35-775364.2-49849.5-20000-576.83+75000-1384-13373-1700-1700-101701-2800-1500-26300+8980.14-1000-6500-1920-11145-13200-2500-1500-16000-56161.33-7200-120000-660-46992-660</f>
        <v>229160.25000000052</v>
      </c>
      <c r="F935" s="298"/>
      <c r="G935" s="291"/>
      <c r="H935" s="152">
        <v>16407</v>
      </c>
      <c r="L935" s="249"/>
      <c r="O935" s="291"/>
      <c r="P935" s="152"/>
      <c r="Q935" s="152"/>
    </row>
    <row r="936" spans="1:17" ht="15">
      <c r="A936" s="250"/>
      <c r="B936" s="274"/>
      <c r="C936" s="274" t="s">
        <v>2549</v>
      </c>
      <c r="E936" s="152">
        <v>576.83000000000004</v>
      </c>
      <c r="F936" s="298"/>
      <c r="G936" s="291"/>
      <c r="H936" s="152">
        <v>3425</v>
      </c>
      <c r="L936" s="152"/>
    </row>
    <row r="937" spans="1:17" ht="15">
      <c r="A937" s="250"/>
      <c r="B937" s="274"/>
      <c r="C937" s="250" t="s">
        <v>2550</v>
      </c>
      <c r="D937" s="250"/>
      <c r="E937" s="240">
        <v>131759.84</v>
      </c>
      <c r="F937" s="303"/>
      <c r="G937" s="291"/>
      <c r="H937" s="152">
        <v>40000</v>
      </c>
    </row>
    <row r="938" spans="1:17" ht="15.75" thickBot="1">
      <c r="A938" s="250"/>
      <c r="B938" s="274"/>
      <c r="C938" s="250" t="s">
        <v>2551</v>
      </c>
      <c r="D938" s="250"/>
      <c r="E938" s="240">
        <f>29037000-580730-71360.35-540264-16516-1216000-4559100-84612-845000-146250-21250-169500-1304482.79-98342.27-72391.24-41536.77-32798.08-15733.86-12923.79-44385-8750-68000-23421.24-74935.48-90476-840000-62187.5-76345-42472.25-8933.79-15182.5-19359.29-8223.66-1736465.35-8400-2015924.43-15500-5641943.53-42679.18-4411271.19-97116.55-1539436.6-23888.35-33500-109750-3353641.29-3200+1207179.33+2288496.94-3000-1309.84-19500-94938-12000+410-90586-1327557.61-16000-295604.52-2600-21987.5+6396000-407242.42-86700-607497.82-59248.22-68407.64-142596.8+738663.98-6166794.55</f>
        <v>1.0244548320770264E-8</v>
      </c>
      <c r="F938" s="298"/>
      <c r="G938" s="328"/>
      <c r="H938" s="152">
        <f>SUM(H900:H937)</f>
        <v>6376387.6899999958</v>
      </c>
      <c r="L938" s="152"/>
    </row>
    <row r="939" spans="1:17" ht="15" hidden="1">
      <c r="A939" s="250"/>
      <c r="B939" s="274"/>
      <c r="C939" s="250" t="s">
        <v>875</v>
      </c>
      <c r="D939" s="250"/>
      <c r="E939" s="240">
        <f>900000-900000</f>
        <v>0</v>
      </c>
      <c r="F939" s="298"/>
      <c r="G939" s="291"/>
      <c r="H939" s="152"/>
      <c r="L939" s="152"/>
    </row>
    <row r="940" spans="1:17" ht="15" hidden="1">
      <c r="A940" s="250"/>
      <c r="B940" s="274"/>
      <c r="C940" s="250" t="s">
        <v>876</v>
      </c>
      <c r="D940" s="250"/>
      <c r="E940" s="240">
        <f>540000-6160-373370.72-44488.43-540000+6160+373370.72+44488.43</f>
        <v>0</v>
      </c>
      <c r="F940" s="298"/>
      <c r="G940" s="291"/>
      <c r="L940" s="152"/>
    </row>
    <row r="941" spans="1:17" ht="15" hidden="1">
      <c r="A941" s="250"/>
      <c r="B941" s="274"/>
      <c r="C941" s="250" t="s">
        <v>877</v>
      </c>
      <c r="D941" s="250"/>
      <c r="E941" s="240">
        <f>900000-900000</f>
        <v>0</v>
      </c>
      <c r="F941" s="298"/>
      <c r="G941" s="291"/>
      <c r="L941" s="152"/>
    </row>
    <row r="942" spans="1:17" ht="15" hidden="1">
      <c r="A942" s="250"/>
      <c r="B942" s="274"/>
      <c r="C942" s="250" t="s">
        <v>878</v>
      </c>
      <c r="D942" s="250"/>
      <c r="E942" s="240">
        <f>364000-151127.2-43957.58-49384.94-61202.94-47404.23-10923.11</f>
        <v>-3.637978807091713E-11</v>
      </c>
      <c r="F942" s="298"/>
      <c r="G942" s="291"/>
      <c r="L942" s="152"/>
    </row>
    <row r="943" spans="1:17" ht="15" hidden="1">
      <c r="A943" s="250"/>
      <c r="B943" s="274"/>
      <c r="C943" s="250" t="s">
        <v>2295</v>
      </c>
      <c r="D943" s="250"/>
      <c r="E943" s="240">
        <f>1350000-47200-25571.04-17144.35-3500-7456.98-2905.14-8094.27-6747-5278.28-1232048.5+5278.28+2000-1332.72</f>
        <v>-5.6161297834478319E-11</v>
      </c>
      <c r="F943" s="298"/>
      <c r="G943" s="291"/>
      <c r="L943" s="152"/>
    </row>
    <row r="944" spans="1:17" ht="15">
      <c r="A944" s="250"/>
      <c r="B944" s="274"/>
      <c r="C944" s="250" t="s">
        <v>2296</v>
      </c>
      <c r="D944" s="250"/>
      <c r="E944" s="240">
        <f>900000-7638.8-13144.35-7456.98-9720-90809.77-8185.18-7730.17-7821.08-4793.67-670000-4640.99</f>
        <v>68059.009999999878</v>
      </c>
      <c r="F944" s="298"/>
      <c r="G944" s="291"/>
      <c r="L944" s="152"/>
    </row>
    <row r="945" spans="1:12" ht="15">
      <c r="A945" s="250"/>
      <c r="B945" s="274"/>
      <c r="C945" s="250" t="s">
        <v>895</v>
      </c>
      <c r="D945" s="250"/>
      <c r="E945" s="240">
        <f>900000-189520-321570-252000-30657-6200-2015-23312-1000-4080</f>
        <v>69646</v>
      </c>
      <c r="F945" s="298"/>
      <c r="G945" s="329"/>
      <c r="H945" s="248"/>
      <c r="L945" s="152"/>
    </row>
    <row r="946" spans="1:12" ht="15" hidden="1">
      <c r="A946" s="250"/>
      <c r="B946" s="274"/>
      <c r="C946" s="250" t="s">
        <v>896</v>
      </c>
      <c r="D946" s="250"/>
      <c r="E946" s="240">
        <f>1080000-30000-1050000</f>
        <v>0</v>
      </c>
      <c r="F946" s="298"/>
      <c r="G946" s="291"/>
      <c r="H946" s="248"/>
      <c r="L946" s="152"/>
    </row>
    <row r="947" spans="1:12" ht="15" hidden="1">
      <c r="A947" s="250"/>
      <c r="B947" s="274"/>
      <c r="C947" s="250" t="s">
        <v>897</v>
      </c>
      <c r="D947" s="250"/>
      <c r="E947" s="240">
        <f>450000-26560-19928.43-403511.57+26560+19928.43-44488.43-2000</f>
        <v>0</v>
      </c>
      <c r="F947" s="298"/>
      <c r="G947" s="291"/>
      <c r="H947" s="248"/>
      <c r="L947" s="152"/>
    </row>
    <row r="948" spans="1:12" ht="15">
      <c r="A948" s="250"/>
      <c r="B948" s="274"/>
      <c r="C948" s="250" t="s">
        <v>898</v>
      </c>
      <c r="D948" s="250"/>
      <c r="E948" s="240">
        <f>450000-34872.79-35148-155246-7500-19740-1533-5410-49970-32676-126789.9+34872.79+19740+35148+155246+7500+1533+5410-149422-91135</f>
        <v>7.1000000000349246</v>
      </c>
      <c r="F948" s="298"/>
      <c r="G948" s="291"/>
      <c r="H948" s="248"/>
      <c r="L948" s="152"/>
    </row>
    <row r="949" spans="1:12" ht="15">
      <c r="A949" s="250"/>
      <c r="B949" s="274"/>
      <c r="C949" s="250" t="s">
        <v>899</v>
      </c>
      <c r="D949" s="250"/>
      <c r="E949" s="240">
        <f>466075.67-5000-5040-430000-8400-1652+149422-155246-6130.36</f>
        <v>4029.309999999984</v>
      </c>
      <c r="F949" s="298"/>
      <c r="G949" s="291"/>
      <c r="H949" s="234">
        <v>6869752.3399999999</v>
      </c>
      <c r="L949" s="152"/>
    </row>
    <row r="950" spans="1:12" ht="15" hidden="1">
      <c r="A950" s="250"/>
      <c r="B950" s="274"/>
      <c r="C950" s="250" t="s">
        <v>900</v>
      </c>
      <c r="D950" s="250"/>
      <c r="E950" s="240">
        <v>0</v>
      </c>
      <c r="F950" s="298"/>
      <c r="G950" s="291"/>
      <c r="H950" s="261"/>
      <c r="I950" s="247"/>
      <c r="L950" s="152"/>
    </row>
    <row r="951" spans="1:12" ht="15" hidden="1">
      <c r="A951" s="250"/>
      <c r="B951" s="274"/>
      <c r="C951" s="250" t="s">
        <v>901</v>
      </c>
      <c r="D951" s="250"/>
      <c r="E951" s="240">
        <f>41025.68-35750-5275.68</f>
        <v>0</v>
      </c>
      <c r="F951" s="298"/>
      <c r="G951" s="291"/>
      <c r="L951" s="152"/>
    </row>
    <row r="952" spans="1:12" ht="15" hidden="1">
      <c r="A952" s="250"/>
      <c r="B952" s="274"/>
      <c r="C952" s="250" t="s">
        <v>902</v>
      </c>
      <c r="D952" s="250"/>
      <c r="E952" s="240">
        <f>1425-1425</f>
        <v>0</v>
      </c>
      <c r="F952" s="298"/>
      <c r="G952" s="291"/>
      <c r="H952" s="249">
        <f>H938-H949</f>
        <v>-493364.6500000041</v>
      </c>
      <c r="L952" s="152"/>
    </row>
    <row r="953" spans="1:12" ht="15" hidden="1">
      <c r="A953" s="250"/>
      <c r="B953" s="274"/>
      <c r="C953" s="250" t="s">
        <v>903</v>
      </c>
      <c r="D953" s="250"/>
      <c r="E953" s="240">
        <f>1350000-1350000</f>
        <v>0</v>
      </c>
      <c r="F953" s="298"/>
      <c r="G953" s="291"/>
      <c r="L953" s="152"/>
    </row>
    <row r="954" spans="1:12" ht="15" hidden="1">
      <c r="A954" s="250"/>
      <c r="B954" s="274"/>
      <c r="C954" s="250" t="s">
        <v>904</v>
      </c>
      <c r="D954" s="250"/>
      <c r="E954" s="240">
        <f>1064000+1520000-2584000+456000-456000</f>
        <v>0</v>
      </c>
      <c r="F954" s="298"/>
      <c r="G954" s="291"/>
      <c r="L954" s="152"/>
    </row>
    <row r="955" spans="1:12" ht="15" hidden="1">
      <c r="A955" s="250"/>
      <c r="B955" s="274"/>
      <c r="C955" s="250" t="s">
        <v>905</v>
      </c>
      <c r="D955" s="250"/>
      <c r="E955" s="240">
        <f>419588.2-390000-5979.6-35786+33175-20997.6</f>
        <v>0</v>
      </c>
      <c r="F955" s="298"/>
      <c r="G955" s="291"/>
      <c r="L955" s="152"/>
    </row>
    <row r="956" spans="1:12" ht="15" hidden="1">
      <c r="A956" s="250"/>
      <c r="B956" s="274"/>
      <c r="C956" s="250" t="s">
        <v>906</v>
      </c>
      <c r="D956" s="250"/>
      <c r="E956" s="240">
        <f>872680-345000-195000-58254.26-124712.58+58254.26-8680-3720-24000-171567.42</f>
        <v>0</v>
      </c>
      <c r="F956" s="298">
        <f>+'[6]status report'!$G$33-E956</f>
        <v>171567.42000000004</v>
      </c>
      <c r="G956" s="291"/>
      <c r="L956" s="152"/>
    </row>
    <row r="957" spans="1:12" ht="15" hidden="1">
      <c r="A957" s="250"/>
      <c r="B957" s="274"/>
      <c r="C957" s="250" t="s">
        <v>907</v>
      </c>
      <c r="D957" s="250"/>
      <c r="E957" s="240">
        <f>350000-23000-9320-30000-166990-83473.5-6229.5-19532.58-7600-3854.42</f>
        <v>0</v>
      </c>
      <c r="F957" s="298"/>
      <c r="G957" s="318"/>
      <c r="L957" s="152"/>
    </row>
    <row r="958" spans="1:12" ht="15">
      <c r="A958" s="250"/>
      <c r="B958" s="274"/>
      <c r="C958" s="250" t="s">
        <v>908</v>
      </c>
      <c r="D958" s="250"/>
      <c r="E958" s="240">
        <f>1620000-1578623-13550-4820-7980-2360</f>
        <v>12667</v>
      </c>
      <c r="F958" s="298"/>
      <c r="G958" s="291"/>
      <c r="L958" s="152"/>
    </row>
    <row r="959" spans="1:12" ht="15" hidden="1">
      <c r="A959" s="250"/>
      <c r="B959" s="274"/>
      <c r="C959" s="250" t="s">
        <v>909</v>
      </c>
      <c r="D959" s="250"/>
      <c r="E959" s="240">
        <f>1616-1616</f>
        <v>0</v>
      </c>
      <c r="F959" s="298"/>
      <c r="G959" s="291"/>
      <c r="L959" s="152"/>
    </row>
    <row r="960" spans="1:12" ht="15" hidden="1">
      <c r="A960" s="250"/>
      <c r="B960" s="274"/>
      <c r="C960" s="250" t="s">
        <v>910</v>
      </c>
      <c r="D960" s="250"/>
      <c r="E960" s="240">
        <v>0</v>
      </c>
      <c r="F960" s="298"/>
      <c r="G960" s="291"/>
      <c r="L960" s="152"/>
    </row>
    <row r="961" spans="1:12" ht="15">
      <c r="A961" s="250"/>
      <c r="B961" s="274"/>
      <c r="C961" s="250" t="s">
        <v>911</v>
      </c>
      <c r="D961" s="250"/>
      <c r="E961" s="240">
        <v>733.03</v>
      </c>
      <c r="F961" s="298"/>
      <c r="G961" s="291"/>
    </row>
    <row r="962" spans="1:12" ht="15">
      <c r="A962" s="250"/>
      <c r="B962" s="274"/>
      <c r="C962" s="250" t="s">
        <v>912</v>
      </c>
      <c r="D962" s="250"/>
      <c r="E962" s="240">
        <f>124881-124881+38324-38324.43+7294-100337+93043+107114-107114+0.2+111138-111138-47713+47713+78869-78869+34060-34060+49963-49963+530331-485523+728055-520535-252328+607375-458642+58061+231208-379941+665420-665420+151075-151075+190118</f>
        <v>248178.77000000002</v>
      </c>
      <c r="F962" s="298"/>
      <c r="G962" s="291">
        <f>1937.22+450</f>
        <v>2387.2200000000003</v>
      </c>
      <c r="L962" s="249"/>
    </row>
    <row r="963" spans="1:12" ht="15">
      <c r="A963" s="250"/>
      <c r="B963" s="274"/>
      <c r="C963" s="250" t="s">
        <v>913</v>
      </c>
      <c r="D963" s="250"/>
      <c r="E963" s="240">
        <f>2000000-400000-414927.5-22626.98-419727.5-15786.76-44037-16150.4-27095.16-243582.5-20376.78-43641-10308.4-56920-6250.2-58720-3615-15750-24900-7555</f>
        <v>148029.81999999989</v>
      </c>
      <c r="F963" s="298"/>
      <c r="G963" s="291">
        <f>3491-450</f>
        <v>3041</v>
      </c>
      <c r="L963" s="249"/>
    </row>
    <row r="964" spans="1:12" ht="15">
      <c r="A964" s="250"/>
      <c r="B964" s="274"/>
      <c r="C964" s="250" t="s">
        <v>820</v>
      </c>
      <c r="D964" s="250"/>
      <c r="E964" s="240">
        <f>1400000-12250-13000-126750-2860-29040-28768-22500-87200-220233.5-15000-27958-16597.98-2400-78700-22800</f>
        <v>693942.52</v>
      </c>
      <c r="F964" s="298"/>
      <c r="G964" s="291"/>
      <c r="L964" s="249"/>
    </row>
    <row r="965" spans="1:12" ht="15">
      <c r="A965" s="250"/>
      <c r="B965" s="274"/>
      <c r="C965" s="274" t="s">
        <v>914</v>
      </c>
      <c r="E965" s="152">
        <f>1637172.18-17200-15300-44000-541965.42-13900-131000-71862+539600-16407-3425-40000+13268-100000-81000-338248.5-134161+767093-34400-177148.08-113100-104762.76-14700-198-279087.78+3090-47692-42700-2622-9108+667600-5339-22130-26850+1723420-10175-61351.25-30000+663690-90150-9250-283127-1000-5400-127900-467800-8200-9470-800-362100-32100-0.5-165860-334100-368920-48210+150000-26300-80000-32110-9750-11402-67556.5-113500</f>
        <v>980094.38999999966</v>
      </c>
      <c r="F965" s="298"/>
      <c r="G965" s="327"/>
      <c r="L965" s="152"/>
    </row>
    <row r="966" spans="1:12" ht="15">
      <c r="A966" s="250"/>
      <c r="B966" s="274"/>
      <c r="C966" s="274" t="s">
        <v>369</v>
      </c>
      <c r="E966" s="152">
        <f>498400-5700-32200-4790-24400-194824-24510-34075-8600</f>
        <v>169301</v>
      </c>
      <c r="F966" s="298"/>
      <c r="G966" s="327"/>
      <c r="L966" s="152"/>
    </row>
    <row r="967" spans="1:12" ht="15">
      <c r="A967" s="250"/>
      <c r="B967" s="274"/>
      <c r="C967" s="274" t="s">
        <v>1178</v>
      </c>
      <c r="E967" s="152">
        <v>852900</v>
      </c>
      <c r="F967" s="298"/>
      <c r="G967" s="327"/>
      <c r="L967" s="152"/>
    </row>
    <row r="968" spans="1:12" ht="15">
      <c r="A968" s="250"/>
      <c r="B968" s="274"/>
      <c r="C968" s="234" t="s">
        <v>2318</v>
      </c>
      <c r="D968" s="250"/>
      <c r="E968" s="240">
        <v>40690</v>
      </c>
      <c r="F968" s="298"/>
      <c r="G968" s="291"/>
      <c r="L968" s="253"/>
    </row>
    <row r="969" spans="1:12" ht="15.75" thickBot="1">
      <c r="A969" s="250"/>
      <c r="B969" s="274"/>
      <c r="C969" s="247" t="s">
        <v>2229</v>
      </c>
      <c r="E969" s="330">
        <f>SUM(E806:E968)</f>
        <v>148657212.81999993</v>
      </c>
      <c r="F969" s="298">
        <f>+E969-TB!J181</f>
        <v>132470364.32999994</v>
      </c>
      <c r="G969" s="291">
        <f>+F969/2</f>
        <v>66235182.164999969</v>
      </c>
      <c r="L969" s="249"/>
    </row>
    <row r="970" spans="1:12" ht="15.75" thickTop="1">
      <c r="A970" s="250"/>
      <c r="B970" s="274"/>
      <c r="E970" s="298"/>
      <c r="F970" s="298"/>
      <c r="G970" s="291"/>
      <c r="L970" s="152"/>
    </row>
    <row r="971" spans="1:12" ht="15">
      <c r="A971" s="250"/>
      <c r="B971" s="274"/>
      <c r="E971" s="298"/>
      <c r="F971" s="298"/>
      <c r="G971" s="291"/>
      <c r="L971" s="152"/>
    </row>
    <row r="972" spans="1:12" ht="15">
      <c r="A972" s="239" t="s">
        <v>2319</v>
      </c>
      <c r="B972" s="274"/>
      <c r="C972" s="239"/>
      <c r="F972" s="244"/>
      <c r="G972" s="152"/>
      <c r="H972" s="322"/>
    </row>
    <row r="973" spans="1:12" ht="15">
      <c r="A973" s="250"/>
      <c r="B973" s="274"/>
      <c r="C973" s="250" t="s">
        <v>155</v>
      </c>
      <c r="D973" s="250"/>
      <c r="E973" s="240">
        <f>73829.33+275</f>
        <v>74104.33</v>
      </c>
      <c r="F973" s="152"/>
      <c r="G973" s="298"/>
    </row>
    <row r="974" spans="1:12" ht="15">
      <c r="A974" s="250"/>
      <c r="B974" s="274"/>
      <c r="C974" s="274" t="s">
        <v>2320</v>
      </c>
      <c r="E974" s="152">
        <f>50000+25000-15659-17460.3-9978+50000-42582-12540-8751</f>
        <v>18029.699999999997</v>
      </c>
      <c r="F974" s="151"/>
      <c r="G974" s="298"/>
      <c r="H974" s="249"/>
    </row>
    <row r="975" spans="1:12" ht="15" hidden="1">
      <c r="A975" s="250"/>
      <c r="B975" s="274"/>
      <c r="C975" s="274" t="s">
        <v>2321</v>
      </c>
      <c r="E975" s="152">
        <f>124300-124300</f>
        <v>0</v>
      </c>
      <c r="F975" s="151"/>
      <c r="G975" s="298"/>
      <c r="H975" s="249"/>
    </row>
    <row r="976" spans="1:12" ht="15">
      <c r="A976" s="250"/>
      <c r="B976" s="274"/>
      <c r="C976" s="274" t="s">
        <v>2322</v>
      </c>
      <c r="E976" s="151">
        <v>90000</v>
      </c>
      <c r="F976" s="151"/>
      <c r="G976" s="298">
        <f>+E978-G978-G979-G980-G982</f>
        <v>-1259</v>
      </c>
      <c r="H976" s="152" t="s">
        <v>779</v>
      </c>
      <c r="I976" s="255"/>
    </row>
    <row r="977" spans="1:29">
      <c r="A977" s="250"/>
      <c r="B977" s="274"/>
      <c r="C977" s="274" t="s">
        <v>2323</v>
      </c>
      <c r="E977" s="151">
        <f>100000+24000-6800+100000-217200+200000-98472.95</f>
        <v>101527.05</v>
      </c>
      <c r="F977" s="151"/>
      <c r="I977" s="255"/>
    </row>
    <row r="978" spans="1:29" ht="15">
      <c r="A978" s="250"/>
      <c r="B978" s="274"/>
      <c r="C978" s="274" t="s">
        <v>925</v>
      </c>
      <c r="E978" s="151">
        <f>500000-490139-1000-7560-1280</f>
        <v>21</v>
      </c>
      <c r="F978" s="331">
        <v>40155</v>
      </c>
      <c r="G978" s="152"/>
      <c r="H978" s="298"/>
      <c r="I978" s="255"/>
    </row>
    <row r="979" spans="1:29" ht="15">
      <c r="A979" s="250"/>
      <c r="B979" s="274"/>
      <c r="C979" s="274" t="s">
        <v>926</v>
      </c>
      <c r="E979" s="152">
        <f>804061+460720-700+234000+3534888-2590516-604960-533730-414334.29-4320-5000+886293-6550+6550-377186-7500-41261+89207.94</f>
        <v>1429662.65</v>
      </c>
      <c r="F979" s="151"/>
      <c r="G979" s="151"/>
      <c r="H979" s="298"/>
      <c r="I979" s="255"/>
    </row>
    <row r="980" spans="1:29" ht="15">
      <c r="A980" s="250"/>
      <c r="B980" s="274"/>
      <c r="C980" s="274" t="s">
        <v>927</v>
      </c>
      <c r="E980" s="151">
        <f>1866065.71+50000-714886.46-2355-61958-3500-8320+150000-45600-20326.99-6095-11394-23126-640-37103-90998+50000-2700-1004150-4338-10484+97000-1500-6609-1000-7894-27618-1055+100000-875-14296-6025-55233+1055-1055.8-7070-1911-4600-23912.75-25500-1400-2247-1800-7400-25407.5-7200-5460-26980</f>
        <v>2097.210000000021</v>
      </c>
      <c r="F980" s="151"/>
      <c r="G980" s="151"/>
      <c r="H980" s="298"/>
    </row>
    <row r="981" spans="1:29" hidden="1">
      <c r="A981" s="250"/>
      <c r="B981" s="274"/>
      <c r="C981" s="274" t="s">
        <v>928</v>
      </c>
      <c r="E981" s="151">
        <f>60000-60000</f>
        <v>0</v>
      </c>
      <c r="F981" s="151"/>
      <c r="G981" s="151"/>
    </row>
    <row r="982" spans="1:29" ht="15" hidden="1">
      <c r="A982" s="250"/>
      <c r="B982" s="274"/>
      <c r="C982" s="274" t="s">
        <v>929</v>
      </c>
      <c r="E982" s="151">
        <f>234000-29590-14100-25904.94-25400-28746-10000-16500-76949-6810.06</f>
        <v>0</v>
      </c>
      <c r="F982" s="331">
        <v>40162</v>
      </c>
      <c r="G982" s="151">
        <v>1280</v>
      </c>
      <c r="H982" s="298" t="s">
        <v>733</v>
      </c>
    </row>
    <row r="983" spans="1:29" ht="15">
      <c r="A983" s="250"/>
      <c r="B983" s="274"/>
      <c r="C983" s="274" t="s">
        <v>2330</v>
      </c>
      <c r="E983" s="151">
        <f>1000000</f>
        <v>1000000</v>
      </c>
      <c r="F983" s="151" t="s">
        <v>2331</v>
      </c>
      <c r="G983" s="298"/>
    </row>
    <row r="984" spans="1:29" ht="15">
      <c r="A984" s="250"/>
      <c r="B984" s="274"/>
      <c r="C984" s="274" t="s">
        <v>2332</v>
      </c>
      <c r="E984" s="151">
        <f>500000-997494.9+1000000-344892.56-14850-61190.82-13860-3990-2310-6189.94</f>
        <v>55221.77999999997</v>
      </c>
      <c r="F984" s="151" t="s">
        <v>98</v>
      </c>
      <c r="G984" s="298"/>
    </row>
    <row r="985" spans="1:29" ht="15" hidden="1">
      <c r="A985" s="250"/>
      <c r="B985" s="274"/>
      <c r="C985" s="274" t="s">
        <v>2333</v>
      </c>
      <c r="E985" s="151">
        <f>50000-46000-4000</f>
        <v>0</v>
      </c>
      <c r="F985" s="151"/>
      <c r="G985" s="298"/>
    </row>
    <row r="986" spans="1:29" ht="15">
      <c r="A986" s="274"/>
      <c r="B986" s="239"/>
      <c r="C986" s="250" t="s">
        <v>329</v>
      </c>
      <c r="D986" s="250"/>
      <c r="E986" s="240">
        <v>250000</v>
      </c>
      <c r="F986" s="240"/>
      <c r="G986" s="151"/>
      <c r="L986" s="152"/>
      <c r="T986" s="332"/>
      <c r="AC986" s="249"/>
    </row>
    <row r="987" spans="1:29" ht="15">
      <c r="A987" s="250"/>
      <c r="B987" s="274"/>
      <c r="C987" s="274" t="s">
        <v>935</v>
      </c>
      <c r="E987" s="151">
        <v>1000000</v>
      </c>
      <c r="F987" s="151"/>
      <c r="G987" s="298"/>
    </row>
    <row r="988" spans="1:29" ht="15">
      <c r="A988" s="250"/>
      <c r="B988" s="274"/>
      <c r="C988" s="274" t="s">
        <v>936</v>
      </c>
      <c r="E988" s="151">
        <f>50000+100000-98472.95+98472.95</f>
        <v>150000</v>
      </c>
      <c r="F988" s="151"/>
      <c r="G988" s="298"/>
    </row>
    <row r="989" spans="1:29" ht="15">
      <c r="A989" s="250"/>
      <c r="B989" s="274"/>
      <c r="C989" s="274" t="s">
        <v>1566</v>
      </c>
      <c r="E989" s="151">
        <f>2200-1000</f>
        <v>1200</v>
      </c>
      <c r="F989" s="151"/>
      <c r="G989" s="298"/>
    </row>
    <row r="990" spans="1:29" ht="15">
      <c r="A990" s="250"/>
      <c r="B990" s="274"/>
      <c r="C990" s="274" t="s">
        <v>1567</v>
      </c>
      <c r="E990" s="151">
        <f>60000-9550-5120-13892.6-20600-1000-48520+85000-9280-15500</f>
        <v>21537.4</v>
      </c>
      <c r="F990" s="151"/>
      <c r="G990" s="298"/>
    </row>
    <row r="991" spans="1:29">
      <c r="A991" s="276"/>
      <c r="B991" s="274"/>
      <c r="C991" s="274" t="s">
        <v>1568</v>
      </c>
      <c r="E991" s="151">
        <v>50000</v>
      </c>
      <c r="F991" s="234" t="s">
        <v>848</v>
      </c>
      <c r="G991" s="291"/>
    </row>
    <row r="992" spans="1:29" hidden="1">
      <c r="A992" s="276"/>
      <c r="B992" s="274"/>
      <c r="C992" s="274" t="s">
        <v>546</v>
      </c>
      <c r="E992" s="151">
        <f>40000-40000</f>
        <v>0</v>
      </c>
      <c r="G992" s="291"/>
    </row>
    <row r="993" spans="1:10">
      <c r="A993" s="276"/>
      <c r="B993" s="274"/>
      <c r="C993" s="274" t="s">
        <v>1121</v>
      </c>
      <c r="E993" s="151">
        <f>50000+50000+50000+50000</f>
        <v>200000</v>
      </c>
      <c r="G993" s="291"/>
    </row>
    <row r="994" spans="1:10">
      <c r="A994" s="267"/>
      <c r="B994" s="250"/>
      <c r="C994" s="250" t="s">
        <v>160</v>
      </c>
      <c r="D994" s="250"/>
      <c r="E994" s="333">
        <v>32467.9</v>
      </c>
      <c r="G994" s="291"/>
    </row>
    <row r="995" spans="1:10" ht="15">
      <c r="A995" s="267"/>
      <c r="B995" s="250"/>
      <c r="C995" s="234" t="s">
        <v>163</v>
      </c>
      <c r="E995" s="151">
        <v>95424.79</v>
      </c>
      <c r="F995" s="299"/>
      <c r="G995" s="291"/>
    </row>
    <row r="996" spans="1:10" ht="15.75" thickBot="1">
      <c r="A996" s="276"/>
      <c r="B996" s="274"/>
      <c r="C996" s="247" t="s">
        <v>2229</v>
      </c>
      <c r="E996" s="330">
        <f>SUM(E972:E995)</f>
        <v>4571293.8099999996</v>
      </c>
      <c r="F996" s="249">
        <f>+E996-TB!J183</f>
        <v>4571293.8099999996</v>
      </c>
      <c r="G996" s="291"/>
    </row>
    <row r="997" spans="1:10" ht="15" thickTop="1">
      <c r="E997" s="152"/>
      <c r="F997" s="246"/>
      <c r="G997" s="291"/>
      <c r="H997" s="152"/>
      <c r="I997" s="152"/>
      <c r="J997" s="152"/>
    </row>
    <row r="998" spans="1:10" ht="15">
      <c r="A998" s="247" t="s">
        <v>849</v>
      </c>
      <c r="E998" s="152"/>
      <c r="F998" s="246"/>
      <c r="G998" s="291"/>
      <c r="H998" s="152"/>
      <c r="I998" s="152"/>
      <c r="J998" s="152"/>
    </row>
    <row r="999" spans="1:10" ht="15">
      <c r="C999" s="234" t="s">
        <v>1589</v>
      </c>
      <c r="E999" s="152">
        <f>160623.44+2000+1384300-4300+16000-18113+290885.98-296945.98-1380000-1918842.98-5000-6550+1918842.98+5000+6550+13498+400-13498-3539.47+120+9332-60+400+660000-660000-3835.88-9332+7660000+8477.28-7660000+3835.88+8988.26-95037+22547.32+608415.71-6720+95037-41695.71+6020.76+2700-6020.76+23480+72-29102.08+3419.47+4550.08-1350-6500+33744.58+5000-31414.58+5520+1300+360000-1300-360000-5000+7776.89-7776.89+8200-8200+50943.88-50943.88+368150.87-363965.87+139987.85-136887.85+36952.8-36952.8+831577.99-201715.24</f>
        <v>1394051.05</v>
      </c>
      <c r="F999" s="246"/>
      <c r="G999" s="261" t="s">
        <v>1590</v>
      </c>
      <c r="H999" s="152"/>
      <c r="I999" s="152"/>
      <c r="J999" s="152"/>
    </row>
    <row r="1000" spans="1:10" ht="15">
      <c r="C1000" s="234" t="s">
        <v>1591</v>
      </c>
      <c r="E1000" s="152">
        <f>495436-9000-7188-6048-3723-2400</f>
        <v>467077</v>
      </c>
      <c r="F1000" s="246"/>
      <c r="G1000" s="261"/>
      <c r="H1000" s="152"/>
      <c r="I1000" s="152"/>
      <c r="J1000" s="152"/>
    </row>
    <row r="1001" spans="1:10">
      <c r="C1001" s="234" t="s">
        <v>2556</v>
      </c>
      <c r="E1001" s="152">
        <f>600000-126612.46-41934.66-29000-254397.56-115000-30445.16</f>
        <v>2610.1600000000071</v>
      </c>
      <c r="F1001" s="246"/>
      <c r="J1001" s="152"/>
    </row>
    <row r="1002" spans="1:10" hidden="1">
      <c r="C1002" s="234" t="s">
        <v>995</v>
      </c>
      <c r="E1002" s="152">
        <f>120000-120000</f>
        <v>0</v>
      </c>
      <c r="F1002" s="246"/>
      <c r="J1002" s="152"/>
    </row>
    <row r="1003" spans="1:10">
      <c r="C1003" s="234" t="s">
        <v>997</v>
      </c>
      <c r="E1003" s="152">
        <f>240000-4812.5-59465.2</f>
        <v>175722.3</v>
      </c>
      <c r="F1003" s="246"/>
      <c r="J1003" s="152"/>
    </row>
    <row r="1004" spans="1:10" hidden="1">
      <c r="C1004" s="234" t="s">
        <v>998</v>
      </c>
      <c r="E1004" s="152">
        <f>120000-120000</f>
        <v>0</v>
      </c>
      <c r="F1004" s="246"/>
      <c r="J1004" s="152"/>
    </row>
    <row r="1005" spans="1:10">
      <c r="C1005" s="234" t="s">
        <v>996</v>
      </c>
      <c r="E1005" s="152">
        <f>360000-74593.1</f>
        <v>285406.90000000002</v>
      </c>
      <c r="F1005" s="246"/>
      <c r="J1005" s="152"/>
    </row>
    <row r="1006" spans="1:10">
      <c r="C1006" s="234" t="s">
        <v>999</v>
      </c>
      <c r="E1006" s="152">
        <f>360000-357274.6-2500.02</f>
        <v>225.3800000000233</v>
      </c>
      <c r="F1006" s="246"/>
      <c r="J1006" s="152"/>
    </row>
    <row r="1007" spans="1:10" hidden="1">
      <c r="C1007" s="234" t="s">
        <v>2282</v>
      </c>
      <c r="E1007" s="152">
        <f>240000-240000</f>
        <v>0</v>
      </c>
      <c r="F1007" s="246"/>
      <c r="J1007" s="152"/>
    </row>
    <row r="1008" spans="1:10" hidden="1">
      <c r="C1008" s="234" t="s">
        <v>2283</v>
      </c>
      <c r="E1008" s="152">
        <f>120000-120000</f>
        <v>0</v>
      </c>
      <c r="F1008" s="246"/>
      <c r="J1008" s="152"/>
    </row>
    <row r="1009" spans="3:10" ht="15">
      <c r="C1009" s="234" t="s">
        <v>821</v>
      </c>
      <c r="E1009" s="152">
        <f>1000+2096-2096</f>
        <v>1000</v>
      </c>
      <c r="F1009" s="298" t="s">
        <v>1592</v>
      </c>
      <c r="G1009" s="334" t="s">
        <v>852</v>
      </c>
      <c r="H1009" s="152"/>
      <c r="I1009" s="261"/>
      <c r="J1009" s="152"/>
    </row>
    <row r="1010" spans="3:10" ht="15">
      <c r="C1010" s="234" t="s">
        <v>548</v>
      </c>
      <c r="E1010" s="152">
        <v>485236</v>
      </c>
      <c r="F1010" s="298"/>
      <c r="G1010" s="334"/>
      <c r="H1010" s="152"/>
      <c r="I1010" s="152"/>
      <c r="J1010" s="152"/>
    </row>
    <row r="1011" spans="3:10" ht="15" hidden="1">
      <c r="C1011" s="234" t="s">
        <v>1000</v>
      </c>
      <c r="E1011" s="152">
        <f>4200000-4200000</f>
        <v>0</v>
      </c>
      <c r="F1011" s="298"/>
      <c r="G1011" s="334"/>
      <c r="H1011" s="152"/>
      <c r="I1011" s="152"/>
      <c r="J1011" s="152"/>
    </row>
    <row r="1012" spans="3:10" ht="15">
      <c r="C1012" s="234" t="s">
        <v>1593</v>
      </c>
      <c r="E1012" s="152">
        <f>1684441.94+6000000-5089008.38-2207790.99-15858.31+15858.31-187500</f>
        <v>200142.56999999937</v>
      </c>
      <c r="F1012" s="298"/>
      <c r="G1012" s="334"/>
      <c r="H1012" s="152"/>
      <c r="I1012" s="152"/>
      <c r="J1012" s="152"/>
    </row>
    <row r="1013" spans="3:10" ht="15">
      <c r="C1013" s="234" t="s">
        <v>942</v>
      </c>
      <c r="E1013" s="152">
        <f>10000+3000000-1500-39257.08+8580.03</f>
        <v>2977822.9499999997</v>
      </c>
      <c r="F1013" s="298"/>
      <c r="G1013" s="334"/>
      <c r="H1013" s="152"/>
      <c r="I1013" s="152"/>
      <c r="J1013" s="152"/>
    </row>
    <row r="1014" spans="3:10" ht="15">
      <c r="C1014" s="234" t="s">
        <v>941</v>
      </c>
      <c r="E1014" s="152">
        <f>10000+3000000-3000000-1500+0.39</f>
        <v>8500.39</v>
      </c>
      <c r="F1014" s="298"/>
      <c r="G1014" s="334"/>
      <c r="H1014" s="152"/>
      <c r="I1014" s="152"/>
      <c r="J1014" s="152"/>
    </row>
    <row r="1015" spans="3:10" ht="15" hidden="1">
      <c r="C1015" s="234" t="s">
        <v>1122</v>
      </c>
      <c r="E1015" s="152">
        <f>362500-362500</f>
        <v>0</v>
      </c>
      <c r="F1015" s="298"/>
      <c r="G1015" s="334"/>
      <c r="H1015" s="152"/>
      <c r="I1015" s="152"/>
      <c r="J1015" s="152"/>
    </row>
    <row r="1016" spans="3:10" ht="15">
      <c r="C1016" s="234" t="s">
        <v>1470</v>
      </c>
      <c r="E1016" s="152">
        <v>5280000</v>
      </c>
      <c r="F1016" s="298" t="s">
        <v>1471</v>
      </c>
      <c r="G1016" s="334"/>
      <c r="H1016" s="152"/>
      <c r="I1016" s="152"/>
      <c r="J1016" s="152"/>
    </row>
    <row r="1017" spans="3:10" ht="15" hidden="1">
      <c r="C1017" s="234" t="s">
        <v>1595</v>
      </c>
      <c r="E1017" s="152">
        <f>100000-100000</f>
        <v>0</v>
      </c>
      <c r="F1017" s="246"/>
      <c r="G1017" s="261" t="s">
        <v>1594</v>
      </c>
      <c r="H1017" s="152"/>
      <c r="I1017" s="152"/>
      <c r="J1017" s="152"/>
    </row>
    <row r="1018" spans="3:10" ht="15">
      <c r="C1018" s="250" t="s">
        <v>876</v>
      </c>
      <c r="E1018" s="152">
        <f>60000-39301.45-1600-1540+100000-10000-7500-8623.41-56620-2000-7730.17-23120-224</f>
        <v>1740.9700000000012</v>
      </c>
      <c r="F1018" s="246"/>
      <c r="G1018" s="261"/>
      <c r="H1018" s="152"/>
      <c r="I1018" s="152"/>
      <c r="J1018" s="152"/>
    </row>
    <row r="1019" spans="3:10" ht="15">
      <c r="C1019" s="250" t="s">
        <v>877</v>
      </c>
      <c r="E1019" s="152">
        <f>100000+71973-2428-55129-17886-18426-5685.5-1636-35148-1533</f>
        <v>34101.5</v>
      </c>
      <c r="F1019" s="246"/>
      <c r="G1019" s="261" t="s">
        <v>1596</v>
      </c>
      <c r="H1019" s="152"/>
      <c r="I1019" s="152"/>
      <c r="J1019" s="152"/>
    </row>
    <row r="1020" spans="3:10" ht="15">
      <c r="C1020" s="250" t="s">
        <v>1598</v>
      </c>
      <c r="E1020" s="152">
        <f>504000-32354.94-373370.72-13860-19740-7140-2387.22</f>
        <v>55147.120000000024</v>
      </c>
      <c r="F1020" s="246"/>
      <c r="G1020" s="261"/>
      <c r="H1020" s="152"/>
      <c r="I1020" s="152"/>
      <c r="J1020" s="152"/>
    </row>
    <row r="1021" spans="3:10" ht="15">
      <c r="C1021" s="250" t="s">
        <v>897</v>
      </c>
      <c r="E1021" s="152">
        <f>50000-26560+120000-5410-90000</f>
        <v>48030</v>
      </c>
      <c r="F1021" s="246"/>
      <c r="G1021" s="261"/>
      <c r="H1021" s="152"/>
      <c r="I1021" s="152"/>
      <c r="J1021" s="152"/>
    </row>
    <row r="1022" spans="3:10" ht="15">
      <c r="C1022" s="250" t="s">
        <v>1599</v>
      </c>
      <c r="E1022" s="152">
        <f>265555.14-10710-8195.7-4620-14490-40266-25000-14490-76500</f>
        <v>71283.44</v>
      </c>
      <c r="F1022" s="246">
        <v>495436</v>
      </c>
      <c r="H1022" s="261">
        <f>+[7]tb!O7</f>
        <v>497736</v>
      </c>
      <c r="I1022" s="152"/>
      <c r="J1022" s="152"/>
    </row>
    <row r="1023" spans="3:10" ht="15" hidden="1">
      <c r="C1023" s="250" t="s">
        <v>1600</v>
      </c>
      <c r="E1023" s="152">
        <f>480000-63401.7-416000-598.3</f>
        <v>-1.1596057447604835E-11</v>
      </c>
      <c r="F1023" s="246"/>
      <c r="G1023" s="261"/>
      <c r="H1023" s="261"/>
      <c r="I1023" s="152"/>
      <c r="J1023" s="152"/>
    </row>
    <row r="1024" spans="3:10" ht="15">
      <c r="C1024" s="250" t="s">
        <v>1602</v>
      </c>
      <c r="E1024" s="152">
        <f>70000-10520-9054.96+8151.76-8151.76-34872.79-19928.43+150000-437.86-13900-5813.8-12280.25-7821.08-8845.09-5278.28-3140-9853.28-72358</f>
        <v>5896.1800000000221</v>
      </c>
      <c r="F1024" s="246"/>
      <c r="G1024" s="261">
        <f>7140</f>
        <v>7140</v>
      </c>
      <c r="H1024" s="261">
        <v>7350</v>
      </c>
      <c r="I1024" s="152"/>
      <c r="J1024" s="152"/>
    </row>
    <row r="1025" spans="3:10" ht="15">
      <c r="C1025" s="250" t="s">
        <v>898</v>
      </c>
      <c r="E1025" s="152">
        <f>50000-49966.2</f>
        <v>33.80000000000291</v>
      </c>
      <c r="F1025" s="246"/>
      <c r="G1025" s="261"/>
      <c r="H1025" s="261"/>
      <c r="I1025" s="152"/>
      <c r="J1025" s="152"/>
    </row>
    <row r="1026" spans="3:10" ht="15" hidden="1">
      <c r="C1026" s="250" t="s">
        <v>901</v>
      </c>
      <c r="E1026" s="152">
        <f>5038.82-5038.82</f>
        <v>0</v>
      </c>
      <c r="F1026" s="246"/>
      <c r="G1026" s="261" t="s">
        <v>1601</v>
      </c>
      <c r="J1026" s="152">
        <f>68880+29047.12</f>
        <v>97927.12</v>
      </c>
    </row>
    <row r="1027" spans="3:10" ht="15.75" thickBot="1">
      <c r="C1027" s="250" t="s">
        <v>902</v>
      </c>
      <c r="E1027" s="152">
        <f>1800</f>
        <v>1800</v>
      </c>
      <c r="F1027" s="246"/>
      <c r="G1027" s="261"/>
      <c r="H1027" s="261"/>
      <c r="I1027" s="261"/>
      <c r="J1027" s="335">
        <f>SUM(J1024:J1026)</f>
        <v>97927.12</v>
      </c>
    </row>
    <row r="1028" spans="3:10" ht="15.75" thickTop="1">
      <c r="C1028" s="250" t="s">
        <v>1603</v>
      </c>
      <c r="E1028" s="152">
        <v>13020</v>
      </c>
      <c r="F1028" s="246"/>
      <c r="G1028" s="261">
        <v>480000</v>
      </c>
    </row>
    <row r="1029" spans="3:10" ht="15">
      <c r="C1029" s="250" t="s">
        <v>905</v>
      </c>
      <c r="E1029" s="152">
        <f>100000-20997.6+20997.6-91429.26-1600-4200</f>
        <v>2770.7400000000052</v>
      </c>
      <c r="F1029" s="246"/>
      <c r="G1029" s="295">
        <v>250000</v>
      </c>
      <c r="H1029" s="261"/>
      <c r="I1029" s="261"/>
      <c r="J1029" s="152"/>
    </row>
    <row r="1030" spans="3:10" ht="15">
      <c r="C1030" s="250" t="s">
        <v>1605</v>
      </c>
      <c r="E1030" s="152">
        <v>100000</v>
      </c>
      <c r="F1030" s="246"/>
      <c r="G1030" s="261">
        <v>380000</v>
      </c>
      <c r="H1030" s="261"/>
      <c r="I1030" s="261"/>
      <c r="J1030" s="152"/>
    </row>
    <row r="1031" spans="3:10" ht="15">
      <c r="C1031" s="250" t="s">
        <v>907</v>
      </c>
      <c r="E1031" s="152">
        <f>50000-18440</f>
        <v>31560</v>
      </c>
      <c r="F1031" s="246"/>
      <c r="G1031" s="261">
        <v>270000</v>
      </c>
      <c r="H1031" s="261"/>
      <c r="I1031" s="261"/>
      <c r="J1031" s="152">
        <v>1200000</v>
      </c>
    </row>
    <row r="1032" spans="3:10" ht="15">
      <c r="C1032" s="250" t="s">
        <v>1604</v>
      </c>
      <c r="E1032" s="152">
        <f>180000-105000-15000</f>
        <v>60000</v>
      </c>
      <c r="F1032" s="246"/>
      <c r="G1032" s="261"/>
      <c r="H1032" s="261"/>
      <c r="I1032" s="261"/>
      <c r="J1032" s="152"/>
    </row>
    <row r="1033" spans="3:10" ht="15">
      <c r="C1033" s="250" t="s">
        <v>1606</v>
      </c>
      <c r="E1033" s="152">
        <f>150000-41300-12542.8-1650-15144.35-8344-7456.98-3280-8094.27-8185.18-17987-7730.17-7821.08-1800-5005.09</f>
        <v>3659.0799999999927</v>
      </c>
      <c r="F1033" s="246"/>
      <c r="G1033" s="261">
        <f>SUM(G1028:G1031)</f>
        <v>1380000</v>
      </c>
      <c r="H1033" s="261"/>
      <c r="I1033" s="261"/>
      <c r="J1033" s="152"/>
    </row>
    <row r="1034" spans="3:10" ht="15">
      <c r="C1034" s="250" t="s">
        <v>909</v>
      </c>
      <c r="E1034" s="152">
        <f>18580-8000</f>
        <v>10580</v>
      </c>
      <c r="F1034" s="246"/>
      <c r="G1034" s="261"/>
      <c r="H1034" s="261"/>
      <c r="I1034" s="261"/>
      <c r="J1034" s="152"/>
    </row>
    <row r="1035" spans="3:10" ht="15">
      <c r="C1035" s="250" t="s">
        <v>1597</v>
      </c>
      <c r="E1035" s="152">
        <f>100000</f>
        <v>100000</v>
      </c>
      <c r="F1035" s="246"/>
      <c r="G1035" s="261"/>
      <c r="H1035" s="261"/>
      <c r="I1035" s="261"/>
      <c r="J1035" s="152"/>
    </row>
    <row r="1036" spans="3:10" ht="15">
      <c r="C1036" s="234" t="s">
        <v>822</v>
      </c>
      <c r="E1036" s="152">
        <f>2500000-431499-907615-920642-23217.63-26910-5200-36950-82340-3000-57734.08</f>
        <v>4892.2899999999936</v>
      </c>
      <c r="F1036" s="246"/>
      <c r="G1036" s="261"/>
      <c r="H1036" s="261"/>
      <c r="I1036" s="261"/>
      <c r="J1036" s="152"/>
    </row>
    <row r="1037" spans="3:10" ht="15" hidden="1">
      <c r="C1037" s="250" t="s">
        <v>1607</v>
      </c>
      <c r="E1037" s="152">
        <f>14000-14000</f>
        <v>0</v>
      </c>
      <c r="F1037" s="246"/>
      <c r="G1037" s="261"/>
      <c r="H1037" s="261"/>
      <c r="I1037" s="261"/>
      <c r="J1037" s="152"/>
    </row>
    <row r="1038" spans="3:10" ht="15" hidden="1">
      <c r="C1038" s="250" t="s">
        <v>1608</v>
      </c>
      <c r="E1038" s="152">
        <f>1000000-1000000</f>
        <v>0</v>
      </c>
      <c r="F1038" s="246"/>
      <c r="G1038" s="261"/>
      <c r="H1038" s="261"/>
      <c r="I1038" s="261"/>
      <c r="J1038" s="152"/>
    </row>
    <row r="1039" spans="3:10" ht="15" hidden="1">
      <c r="C1039" s="250" t="s">
        <v>1609</v>
      </c>
      <c r="E1039" s="152">
        <f>12759.6-12759.6</f>
        <v>0</v>
      </c>
      <c r="F1039" s="246"/>
      <c r="G1039" s="261"/>
      <c r="H1039" s="261"/>
      <c r="I1039" s="261"/>
      <c r="J1039" s="152"/>
    </row>
    <row r="1040" spans="3:10" ht="15.75" thickBot="1">
      <c r="C1040" s="268" t="s">
        <v>2229</v>
      </c>
      <c r="E1040" s="336">
        <f>SUM(E999:E1039)</f>
        <v>11822309.819999998</v>
      </c>
      <c r="F1040" s="246">
        <f>+E1040-TB!J184</f>
        <v>11192447.069999998</v>
      </c>
      <c r="G1040" s="261"/>
      <c r="H1040" s="261"/>
      <c r="I1040" s="261"/>
      <c r="J1040" s="152"/>
    </row>
    <row r="1041" spans="1:10" ht="15.75" thickTop="1">
      <c r="E1041" s="152"/>
      <c r="F1041" s="246"/>
      <c r="G1041" s="261"/>
      <c r="H1041" s="261"/>
      <c r="I1041" s="261"/>
      <c r="J1041" s="152"/>
    </row>
    <row r="1042" spans="1:10" ht="15">
      <c r="A1042" s="247" t="s">
        <v>1610</v>
      </c>
      <c r="B1042" s="247"/>
      <c r="C1042" s="247"/>
      <c r="E1042" s="152"/>
      <c r="F1042" s="246"/>
      <c r="G1042" s="261"/>
      <c r="H1042" s="261"/>
      <c r="I1042" s="261"/>
      <c r="J1042" s="152"/>
    </row>
    <row r="1043" spans="1:10" ht="15">
      <c r="C1043" s="234" t="s">
        <v>1611</v>
      </c>
      <c r="E1043" s="152">
        <v>160748.15</v>
      </c>
      <c r="F1043" s="246"/>
      <c r="G1043" s="261"/>
      <c r="H1043" s="261"/>
      <c r="I1043" s="261"/>
      <c r="J1043" s="152"/>
    </row>
    <row r="1044" spans="1:10" ht="15">
      <c r="C1044" s="234" t="s">
        <v>1613</v>
      </c>
      <c r="E1044" s="246">
        <v>3000</v>
      </c>
      <c r="F1044" s="298"/>
      <c r="G1044" s="261"/>
      <c r="H1044" s="261"/>
      <c r="I1044" s="261"/>
      <c r="J1044" s="152"/>
    </row>
    <row r="1045" spans="1:10" ht="15">
      <c r="C1045" s="234" t="s">
        <v>2049</v>
      </c>
      <c r="E1045" s="246">
        <f>35727.46+36105.19</f>
        <v>71832.649999999994</v>
      </c>
      <c r="F1045" s="298" t="s">
        <v>915</v>
      </c>
      <c r="G1045" s="261"/>
      <c r="H1045" s="261"/>
      <c r="I1045" s="261"/>
      <c r="J1045" s="152"/>
    </row>
    <row r="1046" spans="1:10" ht="15">
      <c r="C1046" s="234" t="s">
        <v>2091</v>
      </c>
      <c r="E1046" s="246">
        <v>175179.31</v>
      </c>
      <c r="F1046" s="298" t="s">
        <v>2092</v>
      </c>
      <c r="G1046" s="261"/>
      <c r="H1046" s="261"/>
      <c r="I1046" s="261"/>
      <c r="J1046" s="152"/>
    </row>
    <row r="1047" spans="1:10" ht="15">
      <c r="C1047" s="234" t="s">
        <v>2050</v>
      </c>
      <c r="E1047" s="246">
        <v>1158646.3600000001</v>
      </c>
      <c r="F1047" s="298" t="s">
        <v>915</v>
      </c>
      <c r="G1047" s="261"/>
      <c r="H1047" s="261"/>
      <c r="I1047" s="261"/>
      <c r="J1047" s="152"/>
    </row>
    <row r="1048" spans="1:10" ht="15">
      <c r="C1048" s="234" t="s">
        <v>2294</v>
      </c>
      <c r="E1048" s="246">
        <v>80240.72</v>
      </c>
      <c r="F1048" s="298" t="s">
        <v>915</v>
      </c>
      <c r="G1048" s="261"/>
      <c r="H1048" s="261"/>
      <c r="I1048" s="261"/>
      <c r="J1048" s="152"/>
    </row>
    <row r="1049" spans="1:10" ht="15">
      <c r="C1049" s="234" t="s">
        <v>2051</v>
      </c>
      <c r="E1049" s="246">
        <v>372978.37</v>
      </c>
      <c r="F1049" s="298" t="s">
        <v>915</v>
      </c>
      <c r="G1049" s="261"/>
      <c r="H1049" s="261"/>
      <c r="I1049" s="261"/>
      <c r="J1049" s="152"/>
    </row>
    <row r="1050" spans="1:10" ht="15">
      <c r="C1050" s="234" t="s">
        <v>285</v>
      </c>
      <c r="D1050" s="152"/>
      <c r="E1050" s="152">
        <v>798441.75</v>
      </c>
      <c r="F1050" s="298" t="s">
        <v>915</v>
      </c>
      <c r="G1050" s="261"/>
      <c r="H1050" s="261"/>
      <c r="I1050" s="261"/>
      <c r="J1050" s="152"/>
    </row>
    <row r="1051" spans="1:10" ht="15">
      <c r="C1051" s="234" t="s">
        <v>2328</v>
      </c>
      <c r="D1051" s="152"/>
      <c r="E1051" s="152">
        <v>132465.54999999999</v>
      </c>
      <c r="F1051" s="298" t="s">
        <v>915</v>
      </c>
      <c r="G1051" s="261"/>
      <c r="H1051" s="261"/>
      <c r="I1051" s="261"/>
      <c r="J1051" s="152"/>
    </row>
    <row r="1052" spans="1:10" ht="15">
      <c r="C1052" s="234" t="s">
        <v>798</v>
      </c>
      <c r="D1052" s="152"/>
      <c r="E1052" s="152">
        <f>173646.54+41542.95-215191.49</f>
        <v>-2</v>
      </c>
      <c r="G1052" s="261"/>
      <c r="H1052" s="261"/>
      <c r="I1052" s="261"/>
      <c r="J1052" s="152"/>
    </row>
    <row r="1053" spans="1:10" ht="15">
      <c r="C1053" s="234" t="s">
        <v>2511</v>
      </c>
      <c r="D1053" s="152"/>
      <c r="E1053" s="152">
        <v>1430533.68</v>
      </c>
      <c r="F1053" s="298" t="s">
        <v>915</v>
      </c>
      <c r="G1053" s="261"/>
      <c r="H1053" s="261"/>
      <c r="I1053" s="261"/>
      <c r="J1053" s="152"/>
    </row>
    <row r="1054" spans="1:10" ht="15">
      <c r="C1054" s="234" t="s">
        <v>2517</v>
      </c>
      <c r="D1054" s="152"/>
      <c r="E1054" s="152">
        <v>565695.80000000005</v>
      </c>
      <c r="F1054" s="298" t="s">
        <v>915</v>
      </c>
      <c r="G1054" s="261"/>
      <c r="H1054" s="261"/>
      <c r="I1054" s="261"/>
      <c r="J1054" s="152"/>
    </row>
    <row r="1055" spans="1:10" ht="15">
      <c r="C1055" s="234" t="s">
        <v>2518</v>
      </c>
      <c r="D1055" s="152"/>
      <c r="E1055" s="152">
        <v>376417.56</v>
      </c>
      <c r="F1055" s="298" t="s">
        <v>915</v>
      </c>
      <c r="G1055" s="261"/>
      <c r="H1055" s="261"/>
      <c r="I1055" s="261"/>
      <c r="J1055" s="152"/>
    </row>
    <row r="1056" spans="1:10" ht="15">
      <c r="C1056" s="234" t="s">
        <v>1783</v>
      </c>
      <c r="D1056" s="152"/>
      <c r="E1056" s="152">
        <v>34740.550000000003</v>
      </c>
      <c r="F1056" s="298" t="s">
        <v>915</v>
      </c>
      <c r="G1056" s="261"/>
      <c r="H1056" s="261"/>
      <c r="I1056" s="261"/>
      <c r="J1056" s="152"/>
    </row>
    <row r="1057" spans="1:10" ht="15">
      <c r="C1057" s="234" t="s">
        <v>396</v>
      </c>
      <c r="D1057" s="152"/>
      <c r="E1057" s="152">
        <v>82925.070000000007</v>
      </c>
      <c r="F1057" s="298" t="s">
        <v>915</v>
      </c>
      <c r="G1057" s="261"/>
      <c r="H1057" s="261"/>
      <c r="I1057" s="261"/>
      <c r="J1057" s="152"/>
    </row>
    <row r="1058" spans="1:10" ht="15">
      <c r="C1058" s="234" t="s">
        <v>395</v>
      </c>
      <c r="D1058" s="152"/>
      <c r="E1058" s="152">
        <v>103359.65</v>
      </c>
      <c r="F1058" s="298" t="s">
        <v>915</v>
      </c>
      <c r="G1058" s="261" t="s">
        <v>950</v>
      </c>
      <c r="H1058" s="261"/>
      <c r="I1058" s="261"/>
      <c r="J1058" s="152"/>
    </row>
    <row r="1059" spans="1:10" ht="15">
      <c r="C1059" s="234" t="s">
        <v>1785</v>
      </c>
      <c r="D1059" s="152"/>
      <c r="E1059" s="152">
        <v>91227.35</v>
      </c>
      <c r="F1059" s="298" t="s">
        <v>1784</v>
      </c>
      <c r="G1059" s="261"/>
      <c r="H1059" s="261"/>
      <c r="I1059" s="261"/>
      <c r="J1059" s="152"/>
    </row>
    <row r="1060" spans="1:10" ht="15">
      <c r="C1060" s="234" t="s">
        <v>1890</v>
      </c>
      <c r="D1060" s="152"/>
      <c r="E1060" s="152">
        <f>153799.59-153799.5</f>
        <v>8.999999999650754E-2</v>
      </c>
      <c r="F1060" s="298" t="s">
        <v>915</v>
      </c>
      <c r="G1060" s="261"/>
      <c r="H1060" s="261"/>
      <c r="I1060" s="261"/>
      <c r="J1060" s="152"/>
    </row>
    <row r="1061" spans="1:10" ht="15">
      <c r="C1061" s="234" t="s">
        <v>412</v>
      </c>
      <c r="D1061" s="152"/>
      <c r="E1061" s="152">
        <v>48500</v>
      </c>
      <c r="F1061" s="298" t="s">
        <v>915</v>
      </c>
      <c r="G1061" s="261"/>
      <c r="H1061" s="261"/>
      <c r="I1061" s="261"/>
      <c r="J1061" s="152"/>
    </row>
    <row r="1062" spans="1:10" ht="15" hidden="1">
      <c r="C1062" s="234" t="s">
        <v>1782</v>
      </c>
      <c r="D1062" s="152"/>
      <c r="E1062" s="152">
        <f>12396-12396</f>
        <v>0</v>
      </c>
      <c r="F1062" s="298" t="s">
        <v>915</v>
      </c>
      <c r="G1062" s="261"/>
      <c r="H1062" s="261"/>
      <c r="I1062" s="261"/>
      <c r="J1062" s="152"/>
    </row>
    <row r="1063" spans="1:10" ht="15" hidden="1">
      <c r="C1063" s="234" t="s">
        <v>373</v>
      </c>
      <c r="D1063" s="152"/>
      <c r="E1063" s="152">
        <f>154345.64-154345.64</f>
        <v>0</v>
      </c>
      <c r="F1063" s="298" t="s">
        <v>915</v>
      </c>
      <c r="G1063" s="261" t="s">
        <v>1098</v>
      </c>
      <c r="H1063" s="261"/>
      <c r="I1063" s="261"/>
      <c r="J1063" s="152"/>
    </row>
    <row r="1064" spans="1:10" ht="15" hidden="1">
      <c r="C1064" s="234" t="s">
        <v>373</v>
      </c>
      <c r="D1064" s="152"/>
      <c r="E1064" s="152">
        <f>48151.91-48151.91</f>
        <v>0</v>
      </c>
      <c r="F1064" s="298" t="s">
        <v>915</v>
      </c>
      <c r="G1064" s="261" t="s">
        <v>1098</v>
      </c>
      <c r="H1064" s="261">
        <f>SUM(E1063:E1064)</f>
        <v>0</v>
      </c>
      <c r="I1064" s="261"/>
      <c r="J1064" s="152"/>
    </row>
    <row r="1065" spans="1:10" ht="15" hidden="1">
      <c r="C1065" s="234" t="s">
        <v>1612</v>
      </c>
      <c r="E1065" s="152">
        <f>162621.94+533709.56-162621.94-120234.92-413474.64</f>
        <v>0</v>
      </c>
      <c r="F1065" s="246"/>
      <c r="G1065" s="261"/>
      <c r="H1065" s="261"/>
      <c r="I1065" s="261"/>
      <c r="J1065" s="152"/>
    </row>
    <row r="1066" spans="1:10" ht="15" hidden="1">
      <c r="C1066" s="234" t="s">
        <v>1889</v>
      </c>
      <c r="D1066" s="152"/>
      <c r="E1066" s="152">
        <f>150839.57-150839.57</f>
        <v>0</v>
      </c>
      <c r="F1066" s="298" t="s">
        <v>915</v>
      </c>
      <c r="G1066" s="261"/>
      <c r="H1066" s="261"/>
      <c r="I1066" s="261"/>
      <c r="J1066" s="152"/>
    </row>
    <row r="1067" spans="1:10" s="247" customFormat="1" ht="15.75" thickBot="1">
      <c r="C1067" s="247" t="s">
        <v>2229</v>
      </c>
      <c r="D1067" s="261"/>
      <c r="E1067" s="337">
        <f>SUM(E1043:E1066)</f>
        <v>5686930.6099999994</v>
      </c>
      <c r="F1067" s="299">
        <f>+E1067-TB!J185</f>
        <v>5686930.6099999994</v>
      </c>
      <c r="G1067" s="261"/>
      <c r="H1067" s="261"/>
      <c r="I1067" s="261"/>
      <c r="J1067" s="261"/>
    </row>
    <row r="1068" spans="1:10" ht="15">
      <c r="D1068" s="152"/>
      <c r="E1068" s="152"/>
      <c r="G1068" s="261"/>
      <c r="H1068" s="261"/>
      <c r="I1068" s="261"/>
      <c r="J1068" s="152"/>
    </row>
    <row r="1069" spans="1:10" ht="15">
      <c r="A1069" s="247" t="s">
        <v>799</v>
      </c>
      <c r="D1069" s="152"/>
      <c r="E1069" s="152"/>
      <c r="G1069" s="261"/>
      <c r="H1069" s="261"/>
      <c r="I1069" s="261"/>
      <c r="J1069" s="152"/>
    </row>
    <row r="1070" spans="1:10" ht="15">
      <c r="A1070" s="267"/>
      <c r="B1070" s="250"/>
      <c r="C1070" s="250" t="s">
        <v>800</v>
      </c>
      <c r="D1070" s="250"/>
      <c r="E1070" s="258">
        <v>100</v>
      </c>
      <c r="F1070" s="258"/>
      <c r="G1070" s="261"/>
      <c r="H1070" s="261"/>
      <c r="I1070" s="261"/>
      <c r="J1070" s="152"/>
    </row>
    <row r="1071" spans="1:10" ht="15">
      <c r="A1071" s="267"/>
      <c r="B1071" s="250"/>
      <c r="C1071" s="250" t="s">
        <v>801</v>
      </c>
      <c r="D1071" s="250"/>
      <c r="E1071" s="258">
        <v>20168</v>
      </c>
      <c r="F1071" s="258"/>
      <c r="G1071" s="261"/>
      <c r="H1071" s="261"/>
      <c r="I1071" s="261"/>
      <c r="J1071" s="152"/>
    </row>
    <row r="1072" spans="1:10" ht="15">
      <c r="A1072" s="267"/>
      <c r="B1072" s="250"/>
      <c r="C1072" s="250" t="s">
        <v>802</v>
      </c>
      <c r="D1072" s="250"/>
      <c r="E1072" s="258">
        <v>1000</v>
      </c>
      <c r="F1072" s="258"/>
      <c r="G1072" s="261"/>
      <c r="H1072" s="261"/>
      <c r="I1072" s="261"/>
      <c r="J1072" s="152"/>
    </row>
    <row r="1073" spans="1:10" ht="15">
      <c r="A1073" s="267"/>
      <c r="B1073" s="250"/>
      <c r="C1073" s="250" t="s">
        <v>803</v>
      </c>
      <c r="E1073" s="151">
        <f>1520-895+500+1050+1680+450-3230-450</f>
        <v>625</v>
      </c>
      <c r="F1073" s="258"/>
      <c r="G1073" s="261"/>
      <c r="H1073" s="261"/>
      <c r="I1073" s="261"/>
      <c r="J1073" s="152"/>
    </row>
    <row r="1074" spans="1:10" ht="15" hidden="1">
      <c r="A1074" s="267"/>
      <c r="B1074" s="250"/>
      <c r="C1074" s="250" t="s">
        <v>2284</v>
      </c>
      <c r="E1074" s="151">
        <f>36000-36000</f>
        <v>0</v>
      </c>
      <c r="F1074" s="258" t="s">
        <v>2093</v>
      </c>
      <c r="G1074" s="261"/>
      <c r="H1074" s="261"/>
      <c r="I1074" s="261"/>
      <c r="J1074" s="152"/>
    </row>
    <row r="1075" spans="1:10" ht="15">
      <c r="A1075" s="267"/>
      <c r="B1075" s="250"/>
      <c r="C1075" s="250" t="s">
        <v>804</v>
      </c>
      <c r="D1075" s="250"/>
      <c r="E1075" s="258">
        <v>505.95</v>
      </c>
      <c r="F1075" s="258"/>
      <c r="G1075" s="261"/>
      <c r="H1075" s="261"/>
      <c r="I1075" s="261"/>
      <c r="J1075" s="152"/>
    </row>
    <row r="1076" spans="1:10" ht="15">
      <c r="A1076" s="267"/>
      <c r="B1076" s="250"/>
      <c r="C1076" s="250" t="s">
        <v>1650</v>
      </c>
      <c r="D1076" s="250"/>
      <c r="E1076" s="258">
        <v>4000</v>
      </c>
      <c r="F1076" s="258"/>
      <c r="G1076" s="261"/>
      <c r="H1076" s="261"/>
      <c r="I1076" s="261"/>
      <c r="J1076" s="152"/>
    </row>
    <row r="1077" spans="1:10" ht="15">
      <c r="A1077" s="267"/>
      <c r="B1077" s="250"/>
      <c r="C1077" s="250" t="s">
        <v>823</v>
      </c>
      <c r="D1077" s="250"/>
      <c r="E1077" s="258">
        <v>3000</v>
      </c>
      <c r="F1077" s="258"/>
      <c r="G1077" s="261"/>
      <c r="H1077" s="261"/>
      <c r="I1077" s="261"/>
      <c r="J1077" s="152"/>
    </row>
    <row r="1078" spans="1:10" ht="15">
      <c r="A1078" s="267"/>
      <c r="B1078" s="250"/>
      <c r="C1078" s="250" t="s">
        <v>1649</v>
      </c>
      <c r="D1078" s="250"/>
      <c r="E1078" s="258">
        <v>3000</v>
      </c>
      <c r="F1078" s="258"/>
      <c r="G1078" s="261"/>
      <c r="H1078" s="261"/>
      <c r="I1078" s="261"/>
      <c r="J1078" s="152"/>
    </row>
    <row r="1079" spans="1:10" ht="15">
      <c r="A1079" s="267"/>
      <c r="B1079" s="250"/>
      <c r="C1079" s="250" t="s">
        <v>233</v>
      </c>
      <c r="D1079" s="250"/>
      <c r="E1079" s="258">
        <v>300</v>
      </c>
      <c r="F1079" s="258"/>
      <c r="G1079" s="261"/>
      <c r="H1079" s="261"/>
      <c r="I1079" s="261"/>
      <c r="J1079" s="152"/>
    </row>
    <row r="1080" spans="1:10" ht="15">
      <c r="A1080" s="267"/>
      <c r="B1080" s="250"/>
      <c r="C1080" s="250" t="s">
        <v>805</v>
      </c>
      <c r="D1080" s="152"/>
      <c r="E1080" s="229">
        <v>700</v>
      </c>
      <c r="F1080" s="258"/>
      <c r="G1080" s="261"/>
      <c r="H1080" s="261"/>
      <c r="I1080" s="261"/>
      <c r="J1080" s="152"/>
    </row>
    <row r="1081" spans="1:10" ht="15">
      <c r="A1081" s="267"/>
      <c r="B1081" s="250"/>
      <c r="C1081" s="250" t="s">
        <v>806</v>
      </c>
      <c r="D1081" s="250"/>
      <c r="E1081" s="258">
        <v>1000</v>
      </c>
      <c r="F1081" s="258"/>
      <c r="G1081" s="261"/>
      <c r="H1081" s="261"/>
      <c r="I1081" s="261"/>
      <c r="J1081" s="152"/>
    </row>
    <row r="1082" spans="1:10" ht="15">
      <c r="A1082" s="267"/>
      <c r="B1082" s="250"/>
      <c r="C1082" s="250" t="s">
        <v>807</v>
      </c>
      <c r="E1082" s="151">
        <v>608</v>
      </c>
      <c r="F1082" s="258"/>
      <c r="G1082" s="261"/>
      <c r="H1082" s="261"/>
      <c r="I1082" s="261"/>
      <c r="J1082" s="152"/>
    </row>
    <row r="1083" spans="1:10" ht="15">
      <c r="A1083" s="267"/>
      <c r="B1083" s="250"/>
      <c r="C1083" s="250" t="s">
        <v>1123</v>
      </c>
      <c r="E1083" s="151">
        <v>5060</v>
      </c>
      <c r="F1083" s="258"/>
      <c r="G1083" s="261"/>
      <c r="H1083" s="261"/>
      <c r="I1083" s="261"/>
      <c r="J1083" s="152"/>
    </row>
    <row r="1084" spans="1:10" ht="15">
      <c r="A1084" s="267"/>
      <c r="B1084" s="250"/>
      <c r="C1084" s="250" t="s">
        <v>808</v>
      </c>
      <c r="E1084" s="151">
        <v>100</v>
      </c>
      <c r="F1084" s="258"/>
      <c r="G1084" s="261"/>
      <c r="H1084" s="261"/>
      <c r="I1084" s="261"/>
      <c r="J1084" s="152"/>
    </row>
    <row r="1085" spans="1:10" ht="15">
      <c r="A1085" s="267"/>
      <c r="B1085" s="250"/>
      <c r="C1085" s="250" t="s">
        <v>809</v>
      </c>
      <c r="E1085" s="151">
        <v>238320.41</v>
      </c>
      <c r="F1085" s="258"/>
      <c r="G1085" s="261"/>
      <c r="H1085" s="261"/>
      <c r="I1085" s="261"/>
      <c r="J1085" s="152"/>
    </row>
    <row r="1086" spans="1:10" ht="15">
      <c r="A1086" s="267"/>
      <c r="B1086" s="250"/>
      <c r="C1086" s="250" t="s">
        <v>810</v>
      </c>
      <c r="D1086" s="152"/>
      <c r="E1086" s="229">
        <v>3200</v>
      </c>
      <c r="F1086" s="258"/>
      <c r="G1086" s="261"/>
      <c r="H1086" s="261"/>
      <c r="I1086" s="261"/>
      <c r="J1086" s="152"/>
    </row>
    <row r="1087" spans="1:10" ht="15">
      <c r="A1087" s="267"/>
      <c r="B1087" s="250"/>
      <c r="C1087" s="250" t="s">
        <v>811</v>
      </c>
      <c r="D1087" s="152"/>
      <c r="E1087" s="229">
        <v>1000</v>
      </c>
      <c r="F1087" s="258"/>
      <c r="G1087" s="261"/>
      <c r="H1087" s="261"/>
      <c r="I1087" s="261"/>
      <c r="J1087" s="152"/>
    </row>
    <row r="1088" spans="1:10" ht="15">
      <c r="A1088" s="267"/>
      <c r="B1088" s="250"/>
      <c r="C1088" s="250" t="s">
        <v>812</v>
      </c>
      <c r="D1088" s="152"/>
      <c r="E1088" s="229">
        <f>4500</f>
        <v>4500</v>
      </c>
      <c r="F1088" s="258"/>
      <c r="G1088" s="261"/>
      <c r="H1088" s="261"/>
      <c r="I1088" s="261"/>
      <c r="J1088" s="152"/>
    </row>
    <row r="1089" spans="1:10" ht="15">
      <c r="A1089" s="267"/>
      <c r="B1089" s="250"/>
      <c r="C1089" s="250" t="s">
        <v>813</v>
      </c>
      <c r="D1089" s="152"/>
      <c r="E1089" s="229">
        <v>460</v>
      </c>
      <c r="F1089" s="258"/>
      <c r="G1089" s="261"/>
      <c r="H1089" s="261"/>
      <c r="I1089" s="261"/>
      <c r="J1089" s="152"/>
    </row>
    <row r="1090" spans="1:10" ht="15">
      <c r="A1090" s="267"/>
      <c r="B1090" s="250"/>
      <c r="C1090" s="250" t="s">
        <v>814</v>
      </c>
      <c r="D1090" s="250"/>
      <c r="E1090" s="258">
        <v>500</v>
      </c>
      <c r="F1090" s="258"/>
      <c r="G1090" s="261"/>
      <c r="H1090" s="261"/>
      <c r="I1090" s="261"/>
      <c r="J1090" s="152"/>
    </row>
    <row r="1091" spans="1:10" ht="15">
      <c r="A1091" s="267"/>
      <c r="B1091" s="250"/>
      <c r="C1091" s="250" t="s">
        <v>815</v>
      </c>
      <c r="E1091" s="229">
        <v>300</v>
      </c>
      <c r="F1091" s="258"/>
      <c r="G1091" s="261"/>
      <c r="H1091" s="261"/>
      <c r="I1091" s="261"/>
      <c r="J1091" s="152"/>
    </row>
    <row r="1092" spans="1:10" ht="15">
      <c r="A1092" s="267"/>
      <c r="B1092" s="250"/>
      <c r="C1092" s="250" t="s">
        <v>816</v>
      </c>
      <c r="D1092" s="250"/>
      <c r="E1092" s="258">
        <v>208</v>
      </c>
      <c r="F1092" s="258"/>
      <c r="G1092" s="261"/>
      <c r="H1092" s="261"/>
      <c r="I1092" s="261"/>
      <c r="J1092" s="152"/>
    </row>
    <row r="1093" spans="1:10" ht="15">
      <c r="A1093" s="267"/>
      <c r="B1093" s="250"/>
      <c r="C1093" s="250" t="s">
        <v>817</v>
      </c>
      <c r="D1093" s="250"/>
      <c r="E1093" s="258">
        <v>500</v>
      </c>
      <c r="F1093" s="258"/>
      <c r="G1093" s="261"/>
      <c r="H1093" s="261"/>
      <c r="I1093" s="261"/>
      <c r="J1093" s="152"/>
    </row>
    <row r="1094" spans="1:10" ht="15">
      <c r="A1094" s="267"/>
      <c r="B1094" s="250"/>
      <c r="C1094" s="250" t="s">
        <v>819</v>
      </c>
      <c r="E1094" s="151">
        <f>4400+588-4400</f>
        <v>588</v>
      </c>
      <c r="F1094" s="258"/>
      <c r="G1094" s="261"/>
      <c r="H1094" s="261"/>
      <c r="I1094" s="261"/>
      <c r="J1094" s="152"/>
    </row>
    <row r="1095" spans="1:10" ht="15">
      <c r="A1095" s="267"/>
      <c r="B1095" s="250"/>
      <c r="C1095" s="250" t="s">
        <v>2350</v>
      </c>
      <c r="D1095" s="250"/>
      <c r="E1095" s="258">
        <v>1750</v>
      </c>
      <c r="F1095" s="258"/>
      <c r="G1095" s="261"/>
      <c r="H1095" s="261"/>
      <c r="I1095" s="261"/>
      <c r="J1095" s="152"/>
    </row>
    <row r="1096" spans="1:10" ht="15">
      <c r="A1096" s="267"/>
      <c r="B1096" s="250"/>
      <c r="C1096" s="250" t="s">
        <v>2350</v>
      </c>
      <c r="D1096" s="250"/>
      <c r="E1096" s="258">
        <v>200</v>
      </c>
      <c r="F1096" s="258"/>
      <c r="G1096" s="261"/>
      <c r="H1096" s="261"/>
      <c r="I1096" s="261"/>
      <c r="J1096" s="152"/>
    </row>
    <row r="1097" spans="1:10" ht="15">
      <c r="A1097" s="267"/>
      <c r="B1097" s="250"/>
      <c r="C1097" s="250" t="s">
        <v>2350</v>
      </c>
      <c r="D1097" s="250"/>
      <c r="E1097" s="258">
        <v>2160</v>
      </c>
      <c r="F1097" s="258"/>
      <c r="G1097" s="261"/>
      <c r="H1097" s="261"/>
      <c r="I1097" s="261"/>
      <c r="J1097" s="152"/>
    </row>
    <row r="1098" spans="1:10" ht="15">
      <c r="A1098" s="267"/>
      <c r="B1098" s="250"/>
      <c r="C1098" s="250" t="s">
        <v>2351</v>
      </c>
      <c r="D1098" s="250"/>
      <c r="E1098" s="258">
        <f>9900</f>
        <v>9900</v>
      </c>
      <c r="F1098" s="258"/>
      <c r="G1098" s="261"/>
      <c r="H1098" s="261"/>
      <c r="I1098" s="261"/>
      <c r="J1098" s="152"/>
    </row>
    <row r="1099" spans="1:10" ht="15">
      <c r="A1099" s="267"/>
      <c r="B1099" s="250"/>
      <c r="C1099" s="250" t="s">
        <v>2352</v>
      </c>
      <c r="E1099" s="152">
        <v>900</v>
      </c>
      <c r="F1099" s="258"/>
      <c r="G1099" s="261" t="s">
        <v>818</v>
      </c>
      <c r="H1099" s="261"/>
      <c r="I1099" s="261"/>
      <c r="J1099" s="152"/>
    </row>
    <row r="1100" spans="1:10" ht="15">
      <c r="A1100" s="267"/>
      <c r="B1100" s="250"/>
      <c r="C1100" s="250" t="s">
        <v>2353</v>
      </c>
      <c r="E1100" s="152">
        <v>9000</v>
      </c>
      <c r="F1100" s="258"/>
      <c r="G1100" s="261"/>
      <c r="H1100" s="261"/>
      <c r="I1100" s="261">
        <v>88054.14</v>
      </c>
      <c r="J1100" s="152"/>
    </row>
    <row r="1101" spans="1:10" ht="15">
      <c r="A1101" s="267"/>
      <c r="B1101" s="250"/>
      <c r="C1101" s="250" t="s">
        <v>2265</v>
      </c>
      <c r="E1101" s="151">
        <v>1400</v>
      </c>
      <c r="F1101" s="258"/>
      <c r="G1101" s="261"/>
      <c r="H1101" s="261"/>
      <c r="I1101" s="261"/>
      <c r="J1101" s="152"/>
    </row>
    <row r="1102" spans="1:10" ht="15">
      <c r="A1102" s="267"/>
      <c r="B1102" s="250"/>
      <c r="C1102" s="250" t="s">
        <v>2266</v>
      </c>
      <c r="E1102" s="151">
        <v>4621</v>
      </c>
      <c r="F1102" s="258"/>
      <c r="G1102" s="261"/>
      <c r="H1102" s="261"/>
      <c r="I1102" s="261"/>
      <c r="J1102" s="152"/>
    </row>
    <row r="1103" spans="1:10" ht="15">
      <c r="A1103" s="267"/>
      <c r="B1103" s="250"/>
      <c r="C1103" s="250" t="s">
        <v>2267</v>
      </c>
      <c r="E1103" s="151">
        <f>7500</f>
        <v>7500</v>
      </c>
      <c r="F1103" s="258"/>
      <c r="G1103" s="261"/>
      <c r="H1103" s="261"/>
      <c r="I1103" s="261"/>
      <c r="J1103" s="152"/>
    </row>
    <row r="1104" spans="1:10" ht="15">
      <c r="A1104" s="267"/>
      <c r="B1104" s="250"/>
      <c r="C1104" s="250" t="s">
        <v>2268</v>
      </c>
      <c r="D1104" s="250"/>
      <c r="E1104" s="258">
        <v>216.63</v>
      </c>
      <c r="F1104" s="258"/>
      <c r="G1104" s="261"/>
      <c r="H1104" s="261">
        <v>88054.14</v>
      </c>
      <c r="I1104" s="261"/>
      <c r="J1104" s="152"/>
    </row>
    <row r="1105" spans="1:10" ht="15">
      <c r="A1105" s="267"/>
      <c r="B1105" s="250"/>
      <c r="C1105" s="250" t="s">
        <v>2269</v>
      </c>
      <c r="D1105" s="250"/>
      <c r="E1105" s="258">
        <v>1000</v>
      </c>
      <c r="F1105" s="258"/>
      <c r="G1105" s="261"/>
      <c r="H1105" s="261"/>
      <c r="I1105" s="261"/>
      <c r="J1105" s="152"/>
    </row>
    <row r="1106" spans="1:10" ht="15">
      <c r="A1106" s="267"/>
      <c r="B1106" s="250"/>
      <c r="C1106" s="250" t="s">
        <v>2270</v>
      </c>
      <c r="D1106" s="250"/>
      <c r="E1106" s="258">
        <v>200</v>
      </c>
      <c r="F1106" s="258"/>
      <c r="G1106" s="261"/>
      <c r="H1106" s="261"/>
      <c r="I1106" s="261"/>
      <c r="J1106" s="152"/>
    </row>
    <row r="1107" spans="1:10" ht="15">
      <c r="A1107" s="267"/>
      <c r="B1107" s="250"/>
      <c r="C1107" s="250" t="s">
        <v>2271</v>
      </c>
      <c r="D1107" s="250"/>
      <c r="E1107" s="258">
        <v>1872</v>
      </c>
      <c r="F1107" s="258"/>
      <c r="G1107" s="261"/>
      <c r="H1107" s="261"/>
      <c r="I1107" s="261"/>
      <c r="J1107" s="152"/>
    </row>
    <row r="1108" spans="1:10" ht="15">
      <c r="A1108" s="267"/>
      <c r="B1108" s="250"/>
      <c r="C1108" s="250" t="s">
        <v>1124</v>
      </c>
      <c r="D1108" s="250"/>
      <c r="E1108" s="258">
        <v>7500</v>
      </c>
      <c r="F1108" s="258"/>
      <c r="G1108" s="261"/>
      <c r="H1108" s="261"/>
      <c r="I1108" s="261"/>
      <c r="J1108" s="152"/>
    </row>
    <row r="1109" spans="1:10" ht="15">
      <c r="A1109" s="267"/>
      <c r="B1109" s="250"/>
      <c r="C1109" s="250" t="s">
        <v>2272</v>
      </c>
      <c r="D1109" s="152"/>
      <c r="E1109" s="315">
        <v>715</v>
      </c>
      <c r="F1109" s="258"/>
      <c r="G1109" s="261"/>
      <c r="H1109" s="261"/>
      <c r="I1109" s="261"/>
      <c r="J1109" s="152"/>
    </row>
    <row r="1110" spans="1:10" ht="15">
      <c r="A1110" s="267"/>
      <c r="B1110" s="250"/>
      <c r="C1110" s="250" t="s">
        <v>2272</v>
      </c>
      <c r="D1110" s="152"/>
      <c r="E1110" s="315">
        <v>3040</v>
      </c>
      <c r="F1110" s="258"/>
      <c r="G1110" s="261"/>
      <c r="H1110" s="261"/>
      <c r="I1110" s="261"/>
      <c r="J1110" s="152"/>
    </row>
    <row r="1111" spans="1:10" ht="15">
      <c r="A1111" s="267"/>
      <c r="B1111" s="250"/>
      <c r="C1111" s="250" t="s">
        <v>2272</v>
      </c>
      <c r="D1111" s="152"/>
      <c r="E1111" s="315">
        <v>1940</v>
      </c>
      <c r="F1111" s="258"/>
      <c r="G1111" s="261"/>
      <c r="H1111" s="261"/>
      <c r="I1111" s="261"/>
      <c r="J1111" s="152"/>
    </row>
    <row r="1112" spans="1:10" ht="15">
      <c r="A1112" s="267"/>
      <c r="B1112" s="250"/>
      <c r="C1112" s="250" t="s">
        <v>2272</v>
      </c>
      <c r="D1112" s="152"/>
      <c r="E1112" s="315">
        <v>500</v>
      </c>
      <c r="F1112" s="258"/>
      <c r="G1112" s="261"/>
      <c r="H1112" s="261"/>
      <c r="I1112" s="261"/>
      <c r="J1112" s="152"/>
    </row>
    <row r="1113" spans="1:10" ht="15">
      <c r="A1113" s="267"/>
      <c r="B1113" s="250"/>
      <c r="C1113" s="250" t="s">
        <v>2297</v>
      </c>
      <c r="E1113" s="152">
        <v>2500</v>
      </c>
      <c r="F1113" s="258"/>
      <c r="G1113" s="261"/>
      <c r="H1113" s="261"/>
      <c r="I1113" s="261"/>
      <c r="J1113" s="152"/>
    </row>
    <row r="1114" spans="1:10" ht="15">
      <c r="A1114" s="267"/>
      <c r="B1114" s="250"/>
      <c r="C1114" s="250" t="s">
        <v>2297</v>
      </c>
      <c r="E1114" s="152">
        <f>7784.5+435+640+415+63+1473+146+2552.7+10000-10000-146-1473-2552.7-435-640-3500-2192.5-462-130</f>
        <v>1978</v>
      </c>
      <c r="F1114" s="258"/>
      <c r="G1114" s="261"/>
      <c r="H1114" s="261"/>
      <c r="I1114" s="261"/>
      <c r="J1114" s="152"/>
    </row>
    <row r="1115" spans="1:10" ht="15">
      <c r="A1115" s="267"/>
      <c r="B1115" s="250"/>
      <c r="C1115" s="250" t="s">
        <v>2298</v>
      </c>
      <c r="E1115" s="151">
        <v>214.2</v>
      </c>
      <c r="F1115" s="258"/>
      <c r="G1115" s="261"/>
      <c r="H1115" s="261"/>
      <c r="I1115" s="261"/>
      <c r="J1115" s="152"/>
    </row>
    <row r="1116" spans="1:10" ht="15">
      <c r="A1116" s="267"/>
      <c r="B1116" s="250"/>
      <c r="C1116" s="250" t="s">
        <v>2021</v>
      </c>
      <c r="E1116" s="151">
        <v>24200</v>
      </c>
      <c r="F1116" s="258"/>
      <c r="G1116" s="261"/>
      <c r="H1116" s="261"/>
      <c r="I1116" s="261"/>
      <c r="J1116" s="152"/>
    </row>
    <row r="1117" spans="1:10" ht="15">
      <c r="A1117" s="267"/>
      <c r="B1117" s="250"/>
      <c r="C1117" s="250" t="s">
        <v>2299</v>
      </c>
      <c r="D1117" s="250"/>
      <c r="E1117" s="258">
        <v>1000</v>
      </c>
      <c r="F1117" s="258"/>
      <c r="G1117" s="261"/>
      <c r="H1117" s="261"/>
      <c r="I1117" s="261"/>
      <c r="J1117" s="152"/>
    </row>
    <row r="1118" spans="1:10" ht="15">
      <c r="A1118" s="267"/>
      <c r="B1118" s="250"/>
      <c r="C1118" s="250" t="s">
        <v>2300</v>
      </c>
      <c r="E1118" s="152">
        <v>5000</v>
      </c>
      <c r="F1118" s="258"/>
      <c r="G1118" s="261"/>
      <c r="H1118" s="261"/>
      <c r="I1118" s="261"/>
      <c r="J1118" s="152"/>
    </row>
    <row r="1119" spans="1:10" ht="15">
      <c r="A1119" s="267"/>
      <c r="B1119" s="250"/>
      <c r="C1119" s="250" t="s">
        <v>2300</v>
      </c>
      <c r="E1119" s="152">
        <v>600</v>
      </c>
      <c r="F1119" s="258"/>
      <c r="G1119" s="261"/>
      <c r="H1119" s="261"/>
      <c r="I1119" s="261"/>
      <c r="J1119" s="152"/>
    </row>
    <row r="1120" spans="1:10" ht="15">
      <c r="A1120" s="267"/>
      <c r="B1120" s="250"/>
      <c r="C1120" s="250" t="s">
        <v>2301</v>
      </c>
      <c r="D1120" s="250"/>
      <c r="E1120" s="229">
        <v>5000</v>
      </c>
      <c r="F1120" s="258"/>
      <c r="G1120" s="261"/>
      <c r="H1120" s="261"/>
      <c r="I1120" s="261"/>
      <c r="J1120" s="152"/>
    </row>
    <row r="1121" spans="1:10" ht="15">
      <c r="A1121" s="267"/>
      <c r="B1121" s="250"/>
      <c r="C1121" s="250" t="s">
        <v>2302</v>
      </c>
      <c r="D1121" s="250"/>
      <c r="E1121" s="258">
        <v>650</v>
      </c>
      <c r="F1121" s="258"/>
      <c r="G1121" s="261"/>
      <c r="H1121" s="261"/>
      <c r="I1121" s="261"/>
      <c r="J1121" s="152"/>
    </row>
    <row r="1122" spans="1:10" ht="15">
      <c r="A1122" s="267"/>
      <c r="B1122" s="250"/>
      <c r="C1122" s="250" t="s">
        <v>2303</v>
      </c>
      <c r="E1122" s="151">
        <v>80</v>
      </c>
      <c r="F1122" s="258"/>
      <c r="G1122" s="261"/>
      <c r="H1122" s="261"/>
      <c r="I1122" s="261"/>
      <c r="J1122" s="152"/>
    </row>
    <row r="1123" spans="1:10" ht="15">
      <c r="A1123" s="267"/>
      <c r="B1123" s="250"/>
      <c r="C1123" s="250" t="s">
        <v>2304</v>
      </c>
      <c r="D1123" s="152"/>
      <c r="E1123" s="229">
        <v>1836</v>
      </c>
      <c r="F1123" s="258"/>
      <c r="G1123" s="261"/>
      <c r="H1123" s="261"/>
      <c r="I1123" s="261"/>
      <c r="J1123" s="152"/>
    </row>
    <row r="1124" spans="1:10" ht="15">
      <c r="A1124" s="267"/>
      <c r="B1124" s="250"/>
      <c r="C1124" s="250" t="s">
        <v>2304</v>
      </c>
      <c r="D1124" s="152"/>
      <c r="E1124" s="229">
        <v>605</v>
      </c>
      <c r="F1124" s="258"/>
      <c r="G1124" s="261"/>
      <c r="H1124" s="261"/>
      <c r="I1124" s="261"/>
      <c r="J1124" s="152"/>
    </row>
    <row r="1125" spans="1:10" ht="15">
      <c r="A1125" s="267"/>
      <c r="B1125" s="250"/>
      <c r="C1125" s="250" t="s">
        <v>2305</v>
      </c>
      <c r="D1125" s="250"/>
      <c r="E1125" s="258">
        <v>700</v>
      </c>
      <c r="F1125" s="258"/>
      <c r="G1125" s="261"/>
      <c r="H1125" s="261"/>
      <c r="I1125" s="261"/>
      <c r="J1125" s="152"/>
    </row>
    <row r="1126" spans="1:10" ht="15">
      <c r="A1126" s="267"/>
      <c r="B1126" s="250"/>
      <c r="C1126" s="250" t="s">
        <v>2305</v>
      </c>
      <c r="D1126" s="250"/>
      <c r="E1126" s="258">
        <v>1500</v>
      </c>
      <c r="F1126" s="258"/>
      <c r="G1126" s="261"/>
      <c r="H1126" s="261"/>
      <c r="I1126" s="261"/>
      <c r="J1126" s="152"/>
    </row>
    <row r="1127" spans="1:10" ht="15" hidden="1">
      <c r="A1127" s="267"/>
      <c r="B1127" s="250"/>
      <c r="C1127" s="250" t="s">
        <v>2306</v>
      </c>
      <c r="E1127" s="151">
        <f>120000+15900-120000-15900</f>
        <v>0</v>
      </c>
      <c r="F1127" s="258"/>
      <c r="G1127" s="261"/>
      <c r="H1127" s="261"/>
      <c r="I1127" s="261"/>
      <c r="J1127" s="152"/>
    </row>
    <row r="1128" spans="1:10" ht="15">
      <c r="A1128" s="267"/>
      <c r="B1128" s="250"/>
      <c r="C1128" s="250" t="s">
        <v>2307</v>
      </c>
      <c r="D1128" s="250"/>
      <c r="E1128" s="258">
        <v>50</v>
      </c>
      <c r="F1128" s="258"/>
      <c r="G1128" s="261"/>
      <c r="H1128" s="261"/>
      <c r="I1128" s="261"/>
      <c r="J1128" s="152"/>
    </row>
    <row r="1129" spans="1:10" ht="15">
      <c r="A1129" s="267"/>
      <c r="B1129" s="250"/>
      <c r="C1129" s="250" t="s">
        <v>2308</v>
      </c>
      <c r="D1129" s="250"/>
      <c r="E1129" s="258">
        <v>1000</v>
      </c>
      <c r="F1129" s="258"/>
      <c r="G1129" s="261"/>
      <c r="H1129" s="261"/>
      <c r="I1129" s="261"/>
      <c r="J1129" s="152"/>
    </row>
    <row r="1130" spans="1:10" ht="15">
      <c r="A1130" s="267"/>
      <c r="B1130" s="250"/>
      <c r="C1130" s="250" t="s">
        <v>2309</v>
      </c>
      <c r="D1130" s="250"/>
      <c r="E1130" s="258">
        <v>100</v>
      </c>
      <c r="F1130" s="258"/>
      <c r="G1130" s="261"/>
      <c r="H1130" s="261"/>
      <c r="I1130" s="261"/>
      <c r="J1130" s="152"/>
    </row>
    <row r="1131" spans="1:10" ht="15">
      <c r="A1131" s="267"/>
      <c r="B1131" s="250"/>
      <c r="C1131" s="250" t="s">
        <v>2310</v>
      </c>
      <c r="D1131" s="250"/>
      <c r="E1131" s="258">
        <v>7000</v>
      </c>
      <c r="F1131" s="258"/>
      <c r="G1131" s="261"/>
      <c r="H1131" s="261"/>
      <c r="I1131" s="261"/>
      <c r="J1131" s="152"/>
    </row>
    <row r="1132" spans="1:10" ht="15">
      <c r="A1132" s="267"/>
      <c r="B1132" s="250"/>
      <c r="C1132" s="250" t="s">
        <v>2311</v>
      </c>
      <c r="D1132" s="250"/>
      <c r="E1132" s="258">
        <v>246</v>
      </c>
      <c r="F1132" s="258"/>
      <c r="G1132" s="261"/>
      <c r="H1132" s="261"/>
      <c r="I1132" s="261"/>
      <c r="J1132" s="152"/>
    </row>
    <row r="1133" spans="1:10" ht="15">
      <c r="A1133" s="267"/>
      <c r="B1133" s="250"/>
      <c r="C1133" s="250" t="s">
        <v>2312</v>
      </c>
      <c r="E1133" s="151">
        <f>185+255</f>
        <v>440</v>
      </c>
      <c r="F1133" s="258"/>
      <c r="G1133" s="261"/>
      <c r="H1133" s="261"/>
      <c r="I1133" s="261"/>
      <c r="J1133" s="152"/>
    </row>
    <row r="1134" spans="1:10" ht="15">
      <c r="A1134" s="267"/>
      <c r="B1134" s="250"/>
      <c r="C1134" s="250" t="s">
        <v>2312</v>
      </c>
      <c r="E1134" s="151">
        <v>750</v>
      </c>
      <c r="F1134" s="258"/>
      <c r="G1134" s="261"/>
      <c r="H1134" s="261"/>
      <c r="I1134" s="261"/>
      <c r="J1134" s="152"/>
    </row>
    <row r="1135" spans="1:10" ht="15">
      <c r="A1135" s="267"/>
      <c r="B1135" s="250"/>
      <c r="C1135" s="250" t="s">
        <v>2313</v>
      </c>
      <c r="D1135" s="250"/>
      <c r="E1135" s="258">
        <v>150</v>
      </c>
      <c r="F1135" s="258"/>
      <c r="G1135" s="261"/>
      <c r="H1135" s="261"/>
      <c r="I1135" s="261"/>
      <c r="J1135" s="152"/>
    </row>
    <row r="1136" spans="1:10" ht="15">
      <c r="A1136" s="267"/>
      <c r="B1136" s="274"/>
      <c r="C1136" s="250" t="s">
        <v>2314</v>
      </c>
      <c r="D1136" s="250"/>
      <c r="E1136" s="258">
        <v>100</v>
      </c>
      <c r="F1136" s="258"/>
      <c r="G1136" s="261"/>
      <c r="H1136" s="261"/>
      <c r="I1136" s="261"/>
      <c r="J1136" s="152"/>
    </row>
    <row r="1137" spans="1:10" ht="15">
      <c r="A1137" s="267"/>
      <c r="B1137" s="250"/>
      <c r="C1137" s="250" t="s">
        <v>2315</v>
      </c>
      <c r="D1137" s="250"/>
      <c r="E1137" s="258">
        <v>2000</v>
      </c>
      <c r="F1137" s="258"/>
      <c r="G1137" s="261"/>
      <c r="H1137" s="261"/>
      <c r="I1137" s="261"/>
      <c r="J1137" s="152"/>
    </row>
    <row r="1138" spans="1:10" ht="15" hidden="1">
      <c r="A1138" s="267"/>
      <c r="B1138" s="250"/>
      <c r="C1138" s="250" t="s">
        <v>1884</v>
      </c>
      <c r="D1138" s="250"/>
      <c r="E1138" s="258">
        <f>10500-10500</f>
        <v>0</v>
      </c>
      <c r="F1138" s="258"/>
      <c r="G1138" s="261"/>
      <c r="H1138" s="261"/>
      <c r="I1138" s="261"/>
      <c r="J1138" s="152"/>
    </row>
    <row r="1139" spans="1:10" ht="15">
      <c r="A1139" s="267"/>
      <c r="B1139" s="250"/>
      <c r="C1139" s="250" t="s">
        <v>2316</v>
      </c>
      <c r="E1139" s="152">
        <v>1000</v>
      </c>
      <c r="F1139" s="258"/>
      <c r="G1139" s="261"/>
      <c r="H1139" s="261"/>
      <c r="I1139" s="261"/>
      <c r="J1139" s="152"/>
    </row>
    <row r="1140" spans="1:10" ht="15">
      <c r="A1140" s="267"/>
      <c r="B1140" s="250"/>
      <c r="C1140" s="250" t="s">
        <v>2317</v>
      </c>
      <c r="E1140" s="151">
        <f>15390+5009+1860+1500+4200+1000+2000-2259+200+400+1000+3000+2500+2000+6000+2500+3100+6200-17800+11200+7645-20500</f>
        <v>36145</v>
      </c>
      <c r="F1140" s="258"/>
      <c r="G1140" s="261"/>
      <c r="H1140" s="261"/>
      <c r="I1140" s="261"/>
      <c r="J1140" s="152"/>
    </row>
    <row r="1141" spans="1:10" ht="15">
      <c r="A1141" s="267"/>
      <c r="B1141" s="250"/>
      <c r="C1141" s="250" t="s">
        <v>725</v>
      </c>
      <c r="D1141" s="250"/>
      <c r="E1141" s="258">
        <f>7500</f>
        <v>7500</v>
      </c>
      <c r="F1141" s="258"/>
      <c r="G1141" s="261"/>
      <c r="H1141" s="261"/>
      <c r="I1141" s="261"/>
      <c r="J1141" s="152"/>
    </row>
    <row r="1142" spans="1:10" ht="15">
      <c r="A1142" s="267"/>
      <c r="B1142" s="250"/>
      <c r="C1142" s="250" t="s">
        <v>726</v>
      </c>
      <c r="D1142" s="250"/>
      <c r="E1142" s="258">
        <v>315</v>
      </c>
      <c r="F1142" s="258"/>
      <c r="G1142" s="261"/>
      <c r="H1142" s="261"/>
      <c r="I1142" s="261"/>
      <c r="J1142" s="152"/>
    </row>
    <row r="1143" spans="1:10" ht="15">
      <c r="A1143" s="267"/>
      <c r="B1143" s="250"/>
      <c r="C1143" s="250" t="s">
        <v>726</v>
      </c>
      <c r="D1143" s="250"/>
      <c r="E1143" s="258">
        <v>570</v>
      </c>
      <c r="F1143" s="258"/>
      <c r="G1143" s="261"/>
      <c r="H1143" s="261"/>
      <c r="I1143" s="261"/>
      <c r="J1143" s="152"/>
    </row>
    <row r="1144" spans="1:10" ht="15">
      <c r="A1144" s="267"/>
      <c r="B1144" s="250"/>
      <c r="C1144" s="250" t="s">
        <v>727</v>
      </c>
      <c r="D1144" s="250"/>
      <c r="E1144" s="258">
        <v>350</v>
      </c>
      <c r="F1144" s="258"/>
      <c r="G1144" s="261"/>
      <c r="H1144" s="261"/>
      <c r="I1144" s="261"/>
      <c r="J1144" s="152"/>
    </row>
    <row r="1145" spans="1:10" ht="15">
      <c r="A1145" s="267"/>
      <c r="B1145" s="250"/>
      <c r="C1145" s="250" t="s">
        <v>728</v>
      </c>
      <c r="D1145" s="250"/>
      <c r="E1145" s="258">
        <v>1000</v>
      </c>
      <c r="F1145" s="258"/>
      <c r="G1145" s="261"/>
      <c r="H1145" s="261"/>
      <c r="I1145" s="261"/>
      <c r="J1145" s="152"/>
    </row>
    <row r="1146" spans="1:10" ht="15">
      <c r="A1146" s="267"/>
      <c r="B1146" s="274"/>
      <c r="C1146" s="250" t="s">
        <v>728</v>
      </c>
      <c r="E1146" s="151">
        <f>1139+600+330-1369+817.7-1147+650+1360+2283-650-1360-2283</f>
        <v>370.69999999999982</v>
      </c>
      <c r="F1146" s="258"/>
      <c r="G1146" s="261"/>
      <c r="H1146" s="261"/>
      <c r="I1146" s="261"/>
      <c r="J1146" s="152"/>
    </row>
    <row r="1147" spans="1:10" ht="15">
      <c r="A1147" s="267"/>
      <c r="B1147" s="250"/>
      <c r="C1147" s="250" t="s">
        <v>728</v>
      </c>
      <c r="E1147" s="151">
        <v>1000</v>
      </c>
      <c r="F1147" s="258"/>
      <c r="G1147" s="261"/>
      <c r="H1147" s="261"/>
      <c r="I1147" s="261"/>
      <c r="J1147" s="152"/>
    </row>
    <row r="1148" spans="1:10" ht="15" hidden="1">
      <c r="A1148" s="267"/>
      <c r="B1148" s="250"/>
      <c r="C1148" s="250" t="s">
        <v>728</v>
      </c>
      <c r="E1148" s="151">
        <f>16600-16600</f>
        <v>0</v>
      </c>
      <c r="F1148" s="258" t="s">
        <v>2093</v>
      </c>
      <c r="G1148" s="261"/>
      <c r="H1148" s="261"/>
      <c r="I1148" s="261"/>
      <c r="J1148" s="152"/>
    </row>
    <row r="1149" spans="1:10" ht="15">
      <c r="A1149" s="267"/>
      <c r="B1149" s="250"/>
      <c r="C1149" s="250" t="s">
        <v>729</v>
      </c>
      <c r="E1149" s="151">
        <f>80+200-200</f>
        <v>80</v>
      </c>
      <c r="F1149" s="258"/>
      <c r="G1149" s="261"/>
      <c r="H1149" s="261"/>
      <c r="I1149" s="261"/>
      <c r="J1149" s="152"/>
    </row>
    <row r="1150" spans="1:10" ht="15">
      <c r="A1150" s="267"/>
      <c r="B1150" s="250"/>
      <c r="C1150" s="250" t="s">
        <v>730</v>
      </c>
      <c r="D1150" s="250"/>
      <c r="E1150" s="258">
        <v>3800</v>
      </c>
      <c r="F1150" s="258"/>
      <c r="G1150" s="261"/>
      <c r="H1150" s="261"/>
      <c r="I1150" s="261"/>
      <c r="J1150" s="152"/>
    </row>
    <row r="1151" spans="1:10" ht="15">
      <c r="A1151" s="267"/>
      <c r="B1151" s="250"/>
      <c r="C1151" s="250" t="s">
        <v>731</v>
      </c>
      <c r="D1151" s="250"/>
      <c r="E1151" s="258">
        <v>850</v>
      </c>
      <c r="F1151" s="258"/>
      <c r="G1151" s="261"/>
      <c r="H1151" s="261"/>
      <c r="I1151" s="261"/>
      <c r="J1151" s="152"/>
    </row>
    <row r="1152" spans="1:10" ht="15">
      <c r="A1152" s="267"/>
      <c r="B1152" s="250"/>
      <c r="C1152" s="250" t="s">
        <v>732</v>
      </c>
      <c r="D1152" s="250"/>
      <c r="E1152" s="258">
        <v>400</v>
      </c>
      <c r="F1152" s="258"/>
      <c r="G1152" s="261"/>
      <c r="H1152" s="261"/>
      <c r="I1152" s="261"/>
      <c r="J1152" s="152"/>
    </row>
    <row r="1153" spans="1:10" ht="15">
      <c r="A1153" s="267"/>
      <c r="B1153" s="250"/>
      <c r="C1153" s="250" t="s">
        <v>2264</v>
      </c>
      <c r="D1153" s="250"/>
      <c r="E1153" s="258">
        <v>615</v>
      </c>
      <c r="F1153" s="258"/>
      <c r="G1153" s="261"/>
      <c r="H1153" s="261"/>
      <c r="I1153" s="261"/>
      <c r="J1153" s="152"/>
    </row>
    <row r="1154" spans="1:10" ht="15">
      <c r="A1154" s="267"/>
      <c r="B1154" s="250"/>
      <c r="C1154" s="250" t="s">
        <v>2245</v>
      </c>
      <c r="D1154" s="250"/>
      <c r="E1154" s="258">
        <v>1000</v>
      </c>
      <c r="F1154" s="258"/>
      <c r="G1154" s="261"/>
      <c r="H1154" s="261"/>
      <c r="I1154" s="261"/>
      <c r="J1154" s="152"/>
    </row>
    <row r="1155" spans="1:10" ht="15">
      <c r="A1155" s="267"/>
      <c r="B1155" s="274"/>
      <c r="C1155" s="250" t="s">
        <v>2246</v>
      </c>
      <c r="D1155" s="250"/>
      <c r="E1155" s="258">
        <v>6000</v>
      </c>
      <c r="F1155" s="258"/>
      <c r="G1155" s="261"/>
      <c r="H1155" s="261"/>
      <c r="I1155" s="261"/>
      <c r="J1155" s="152"/>
    </row>
    <row r="1156" spans="1:10" ht="15">
      <c r="A1156" s="267"/>
      <c r="B1156" s="274"/>
      <c r="C1156" s="250" t="s">
        <v>2247</v>
      </c>
      <c r="D1156" s="152"/>
      <c r="E1156" s="229">
        <v>1000</v>
      </c>
      <c r="F1156" s="258"/>
      <c r="G1156" s="261"/>
      <c r="H1156" s="261"/>
      <c r="I1156" s="261"/>
      <c r="J1156" s="152"/>
    </row>
    <row r="1157" spans="1:10" ht="15">
      <c r="A1157" s="267"/>
      <c r="B1157" s="250"/>
      <c r="C1157" s="250" t="s">
        <v>2248</v>
      </c>
      <c r="D1157" s="250"/>
      <c r="E1157" s="258">
        <v>120</v>
      </c>
      <c r="F1157" s="258"/>
      <c r="G1157" s="261"/>
      <c r="H1157" s="261"/>
      <c r="I1157" s="261"/>
      <c r="J1157" s="152"/>
    </row>
    <row r="1158" spans="1:10" ht="15">
      <c r="A1158" s="267"/>
      <c r="B1158" s="250"/>
      <c r="C1158" s="250" t="s">
        <v>2249</v>
      </c>
      <c r="D1158" s="250"/>
      <c r="E1158" s="258">
        <v>700</v>
      </c>
      <c r="F1158" s="258"/>
      <c r="G1158" s="261"/>
      <c r="H1158" s="261"/>
      <c r="I1158" s="261"/>
      <c r="J1158" s="152"/>
    </row>
    <row r="1159" spans="1:10" ht="15">
      <c r="A1159" s="267"/>
      <c r="B1159" s="250"/>
      <c r="C1159" s="250" t="s">
        <v>1651</v>
      </c>
      <c r="D1159" s="250"/>
      <c r="E1159" s="258">
        <v>1000</v>
      </c>
      <c r="F1159" s="258"/>
      <c r="G1159" s="261"/>
      <c r="H1159" s="261"/>
      <c r="I1159" s="261"/>
      <c r="J1159" s="152"/>
    </row>
    <row r="1160" spans="1:10" ht="15">
      <c r="A1160" s="267"/>
      <c r="B1160" s="274"/>
      <c r="C1160" s="250" t="s">
        <v>2250</v>
      </c>
      <c r="D1160" s="250"/>
      <c r="E1160" s="258">
        <v>1447</v>
      </c>
      <c r="F1160" s="258"/>
      <c r="G1160" s="261"/>
      <c r="H1160" s="261"/>
      <c r="I1160" s="261"/>
      <c r="J1160" s="152"/>
    </row>
    <row r="1161" spans="1:10" ht="15">
      <c r="A1161" s="267"/>
      <c r="B1161" s="250"/>
      <c r="C1161" s="250" t="s">
        <v>2251</v>
      </c>
      <c r="D1161" s="250"/>
      <c r="E1161" s="258">
        <v>250</v>
      </c>
      <c r="F1161" s="258"/>
      <c r="G1161" s="261"/>
      <c r="H1161" s="261"/>
      <c r="I1161" s="261"/>
      <c r="J1161" s="152"/>
    </row>
    <row r="1162" spans="1:10" ht="15">
      <c r="A1162" s="267"/>
      <c r="B1162" s="250"/>
      <c r="C1162" s="250" t="s">
        <v>2252</v>
      </c>
      <c r="D1162" s="152"/>
      <c r="E1162" s="229">
        <v>1000</v>
      </c>
      <c r="F1162" s="258"/>
      <c r="G1162" s="261"/>
      <c r="H1162" s="261"/>
      <c r="I1162" s="261"/>
      <c r="J1162" s="152"/>
    </row>
    <row r="1163" spans="1:10" ht="15">
      <c r="A1163" s="267"/>
      <c r="B1163" s="250"/>
      <c r="C1163" s="250" t="s">
        <v>2253</v>
      </c>
      <c r="E1163" s="151">
        <f>10000+13950-10500</f>
        <v>13450</v>
      </c>
      <c r="F1163" s="258"/>
      <c r="G1163" s="261"/>
      <c r="H1163" s="261"/>
      <c r="I1163" s="261"/>
      <c r="J1163" s="152"/>
    </row>
    <row r="1164" spans="1:10" ht="15">
      <c r="A1164" s="267"/>
      <c r="B1164" s="250"/>
      <c r="C1164" s="250" t="s">
        <v>2254</v>
      </c>
      <c r="E1164" s="151">
        <v>500</v>
      </c>
      <c r="F1164" s="258"/>
      <c r="G1164" s="261"/>
      <c r="H1164" s="261"/>
      <c r="I1164" s="261"/>
      <c r="J1164" s="152"/>
    </row>
    <row r="1165" spans="1:10" ht="15">
      <c r="A1165" s="267"/>
      <c r="B1165" s="250"/>
      <c r="C1165" s="250" t="s">
        <v>2255</v>
      </c>
      <c r="D1165" s="152"/>
      <c r="E1165" s="229">
        <v>500000</v>
      </c>
      <c r="F1165" s="258"/>
      <c r="G1165" s="261"/>
      <c r="H1165" s="261"/>
      <c r="I1165" s="261"/>
      <c r="J1165" s="152"/>
    </row>
    <row r="1166" spans="1:10" ht="15">
      <c r="A1166" s="267"/>
      <c r="B1166" s="250"/>
      <c r="C1166" s="250" t="s">
        <v>2256</v>
      </c>
      <c r="D1166" s="250"/>
      <c r="E1166" s="258">
        <v>300</v>
      </c>
      <c r="F1166" s="258"/>
      <c r="G1166" s="261"/>
      <c r="H1166" s="261"/>
      <c r="I1166" s="261"/>
      <c r="J1166" s="152"/>
    </row>
    <row r="1167" spans="1:10" ht="15">
      <c r="A1167" s="267"/>
      <c r="B1167" s="250"/>
      <c r="C1167" s="250" t="s">
        <v>2257</v>
      </c>
      <c r="E1167" s="151">
        <f>3000</f>
        <v>3000</v>
      </c>
      <c r="F1167" s="258"/>
      <c r="G1167" s="261"/>
      <c r="H1167" s="261"/>
      <c r="I1167" s="261"/>
      <c r="J1167" s="152"/>
    </row>
    <row r="1168" spans="1:10" ht="15">
      <c r="A1168" s="267"/>
      <c r="B1168" s="250"/>
      <c r="C1168" s="250" t="s">
        <v>2258</v>
      </c>
      <c r="E1168" s="151">
        <f>551</f>
        <v>551</v>
      </c>
      <c r="F1168" s="258"/>
      <c r="G1168" s="261"/>
      <c r="H1168" s="261"/>
      <c r="I1168" s="261"/>
      <c r="J1168" s="152"/>
    </row>
    <row r="1169" spans="1:10" ht="15">
      <c r="A1169" s="267"/>
      <c r="B1169" s="250"/>
      <c r="C1169" s="250" t="s">
        <v>2259</v>
      </c>
      <c r="E1169" s="151">
        <f>176+414+21772.86-21772.86</f>
        <v>590</v>
      </c>
      <c r="F1169" s="258"/>
      <c r="G1169" s="261"/>
      <c r="H1169" s="261"/>
      <c r="I1169" s="261"/>
      <c r="J1169" s="152"/>
    </row>
    <row r="1170" spans="1:10" ht="15">
      <c r="A1170" s="267"/>
      <c r="B1170" s="250"/>
      <c r="C1170" s="250" t="s">
        <v>2260</v>
      </c>
      <c r="D1170" s="250"/>
      <c r="E1170" s="258">
        <v>292.32</v>
      </c>
      <c r="F1170" s="258"/>
      <c r="G1170" s="261"/>
      <c r="H1170" s="261"/>
      <c r="I1170" s="261"/>
      <c r="J1170" s="152"/>
    </row>
    <row r="1171" spans="1:10" ht="15">
      <c r="A1171" s="267"/>
      <c r="B1171" s="250"/>
      <c r="C1171" s="250" t="s">
        <v>682</v>
      </c>
      <c r="E1171" s="151">
        <f>432+33+937.5</f>
        <v>1402.5</v>
      </c>
      <c r="F1171" s="258"/>
      <c r="G1171" s="261"/>
      <c r="H1171" s="261"/>
      <c r="I1171" s="261"/>
      <c r="J1171" s="152"/>
    </row>
    <row r="1172" spans="1:10" ht="15">
      <c r="A1172" s="267"/>
      <c r="B1172" s="250"/>
      <c r="C1172" s="250" t="s">
        <v>2534</v>
      </c>
      <c r="E1172" s="151">
        <f>1000+1000</f>
        <v>2000</v>
      </c>
      <c r="F1172" s="258"/>
      <c r="G1172" s="261"/>
      <c r="H1172" s="261"/>
      <c r="I1172" s="261"/>
      <c r="J1172" s="152"/>
    </row>
    <row r="1173" spans="1:10" ht="15" hidden="1">
      <c r="A1173" s="267"/>
      <c r="B1173" s="250"/>
      <c r="C1173" s="250" t="s">
        <v>1247</v>
      </c>
      <c r="E1173" s="151">
        <f>1725-1725</f>
        <v>0</v>
      </c>
      <c r="F1173" s="258"/>
      <c r="G1173" s="261"/>
      <c r="H1173" s="261"/>
      <c r="I1173" s="261"/>
      <c r="J1173" s="152"/>
    </row>
    <row r="1174" spans="1:10" ht="15" hidden="1">
      <c r="A1174" s="267"/>
      <c r="B1174" s="250"/>
      <c r="C1174" s="250" t="s">
        <v>1247</v>
      </c>
      <c r="E1174" s="151">
        <f>879.1-879.1</f>
        <v>0</v>
      </c>
      <c r="F1174" s="258">
        <f>SUM(E1173:E1174)</f>
        <v>0</v>
      </c>
      <c r="G1174" s="261"/>
      <c r="H1174" s="261"/>
      <c r="I1174" s="261"/>
      <c r="J1174" s="152"/>
    </row>
    <row r="1175" spans="1:10" ht="15">
      <c r="A1175" s="267"/>
      <c r="B1175" s="250"/>
      <c r="C1175" s="250" t="s">
        <v>342</v>
      </c>
      <c r="D1175" s="250"/>
      <c r="E1175" s="258">
        <v>2000</v>
      </c>
      <c r="F1175" s="258"/>
      <c r="G1175" s="261"/>
      <c r="H1175" s="261"/>
      <c r="I1175" s="261"/>
      <c r="J1175" s="152"/>
    </row>
    <row r="1176" spans="1:10" ht="15">
      <c r="A1176" s="267"/>
      <c r="B1176" s="250"/>
      <c r="C1176" s="250" t="s">
        <v>342</v>
      </c>
      <c r="D1176" s="250"/>
      <c r="E1176" s="258">
        <v>1500</v>
      </c>
      <c r="F1176" s="258"/>
      <c r="G1176" s="261"/>
      <c r="H1176" s="261"/>
      <c r="I1176" s="261"/>
      <c r="J1176" s="152"/>
    </row>
    <row r="1177" spans="1:10" ht="15">
      <c r="A1177" s="267"/>
      <c r="B1177" s="250"/>
      <c r="C1177" s="250" t="s">
        <v>343</v>
      </c>
      <c r="D1177" s="250"/>
      <c r="E1177" s="258">
        <v>500</v>
      </c>
      <c r="F1177" s="258"/>
      <c r="G1177" s="261"/>
      <c r="H1177" s="261"/>
      <c r="I1177" s="261"/>
      <c r="J1177" s="152"/>
    </row>
    <row r="1178" spans="1:10" ht="15">
      <c r="A1178" s="267"/>
      <c r="B1178" s="250"/>
      <c r="C1178" s="250" t="s">
        <v>344</v>
      </c>
      <c r="D1178" s="250"/>
      <c r="E1178" s="258">
        <v>1000</v>
      </c>
      <c r="F1178" s="258"/>
      <c r="G1178" s="261"/>
      <c r="H1178" s="261"/>
      <c r="I1178" s="261"/>
      <c r="J1178" s="152"/>
    </row>
    <row r="1179" spans="1:10" ht="15">
      <c r="A1179" s="267"/>
      <c r="B1179" s="250"/>
      <c r="C1179" s="250" t="s">
        <v>344</v>
      </c>
      <c r="D1179" s="152"/>
      <c r="E1179" s="229">
        <v>670</v>
      </c>
      <c r="F1179" s="258"/>
      <c r="G1179" s="261"/>
      <c r="H1179" s="261"/>
      <c r="I1179" s="261"/>
      <c r="J1179" s="152"/>
    </row>
    <row r="1180" spans="1:10" ht="15">
      <c r="A1180" s="267"/>
      <c r="B1180" s="250"/>
      <c r="C1180" s="250" t="s">
        <v>345</v>
      </c>
      <c r="E1180" s="152">
        <f>330+105.2+16</f>
        <v>451.2</v>
      </c>
      <c r="F1180" s="258"/>
      <c r="G1180" s="261"/>
      <c r="H1180" s="261"/>
      <c r="I1180" s="261"/>
      <c r="J1180" s="152"/>
    </row>
    <row r="1181" spans="1:10" ht="15">
      <c r="A1181" s="267"/>
      <c r="B1181" s="250"/>
      <c r="C1181" s="250" t="s">
        <v>346</v>
      </c>
      <c r="D1181" s="250"/>
      <c r="E1181" s="258">
        <v>600</v>
      </c>
      <c r="F1181" s="258"/>
      <c r="G1181" s="261"/>
      <c r="H1181" s="261"/>
      <c r="I1181" s="261"/>
      <c r="J1181" s="152"/>
    </row>
    <row r="1182" spans="1:10" ht="15">
      <c r="A1182" s="267"/>
      <c r="B1182" s="274"/>
      <c r="C1182" s="250" t="s">
        <v>346</v>
      </c>
      <c r="D1182" s="250"/>
      <c r="E1182" s="258">
        <v>100</v>
      </c>
      <c r="F1182" s="258"/>
      <c r="G1182" s="261"/>
      <c r="H1182" s="261"/>
      <c r="I1182" s="261"/>
      <c r="J1182" s="152"/>
    </row>
    <row r="1183" spans="1:10" ht="15">
      <c r="A1183" s="267"/>
      <c r="B1183" s="250"/>
      <c r="C1183" s="250" t="s">
        <v>346</v>
      </c>
      <c r="D1183" s="250"/>
      <c r="E1183" s="258">
        <v>300</v>
      </c>
      <c r="F1183" s="258"/>
      <c r="G1183" s="261"/>
      <c r="H1183" s="261"/>
      <c r="I1183" s="261"/>
      <c r="J1183" s="152"/>
    </row>
    <row r="1184" spans="1:10" ht="15">
      <c r="A1184" s="267"/>
      <c r="B1184" s="250"/>
      <c r="C1184" s="250" t="s">
        <v>346</v>
      </c>
      <c r="D1184" s="250"/>
      <c r="E1184" s="258">
        <v>1000</v>
      </c>
      <c r="F1184" s="258"/>
      <c r="G1184" s="261"/>
      <c r="H1184" s="261"/>
      <c r="I1184" s="261"/>
      <c r="J1184" s="152"/>
    </row>
    <row r="1185" spans="1:10" ht="15">
      <c r="A1185" s="267"/>
      <c r="B1185" s="250"/>
      <c r="C1185" s="250" t="s">
        <v>347</v>
      </c>
      <c r="E1185" s="151">
        <v>1000</v>
      </c>
      <c r="F1185" s="258"/>
      <c r="G1185" s="261"/>
      <c r="H1185" s="261"/>
      <c r="I1185" s="261"/>
      <c r="J1185" s="152"/>
    </row>
    <row r="1186" spans="1:10" ht="15" hidden="1">
      <c r="A1186" s="267"/>
      <c r="B1186" s="250"/>
      <c r="C1186" s="250" t="s">
        <v>269</v>
      </c>
      <c r="E1186" s="151">
        <f>65000-65000</f>
        <v>0</v>
      </c>
      <c r="F1186" s="258"/>
      <c r="G1186" s="261"/>
      <c r="H1186" s="261"/>
      <c r="I1186" s="261"/>
      <c r="J1186" s="152"/>
    </row>
    <row r="1187" spans="1:10" ht="15" hidden="1">
      <c r="A1187" s="267"/>
      <c r="B1187" s="250"/>
      <c r="C1187" s="250" t="s">
        <v>269</v>
      </c>
      <c r="E1187" s="151">
        <f>4824.08-4824.08</f>
        <v>0</v>
      </c>
      <c r="F1187" s="258">
        <f>SUM(E1186:E1187)</f>
        <v>0</v>
      </c>
      <c r="G1187" s="261"/>
      <c r="H1187" s="261"/>
      <c r="I1187" s="261"/>
      <c r="J1187" s="152"/>
    </row>
    <row r="1188" spans="1:10" ht="15">
      <c r="A1188" s="267"/>
      <c r="B1188" s="250"/>
      <c r="C1188" s="250" t="s">
        <v>326</v>
      </c>
      <c r="D1188" s="250"/>
      <c r="E1188" s="258">
        <v>500</v>
      </c>
      <c r="F1188" s="258"/>
      <c r="G1188" s="261"/>
      <c r="H1188" s="261"/>
      <c r="I1188" s="261"/>
      <c r="J1188" s="152"/>
    </row>
    <row r="1189" spans="1:10" ht="15">
      <c r="A1189" s="267"/>
      <c r="B1189" s="250"/>
      <c r="C1189" s="250" t="s">
        <v>286</v>
      </c>
      <c r="D1189" s="250"/>
      <c r="E1189" s="258">
        <v>500</v>
      </c>
      <c r="F1189" s="258"/>
      <c r="G1189" s="261"/>
      <c r="H1189" s="261"/>
      <c r="I1189" s="261"/>
      <c r="J1189" s="152"/>
    </row>
    <row r="1190" spans="1:10" ht="15">
      <c r="A1190" s="267"/>
      <c r="B1190" s="250"/>
      <c r="C1190" s="250" t="s">
        <v>1665</v>
      </c>
      <c r="D1190" s="250"/>
      <c r="E1190" s="258">
        <v>220</v>
      </c>
      <c r="F1190" s="258"/>
      <c r="G1190" s="261"/>
      <c r="H1190" s="261"/>
      <c r="I1190" s="261"/>
      <c r="J1190" s="152"/>
    </row>
    <row r="1191" spans="1:10" ht="15">
      <c r="A1191" s="267"/>
      <c r="B1191" s="250"/>
      <c r="C1191" s="250" t="s">
        <v>1666</v>
      </c>
      <c r="D1191" s="250"/>
      <c r="E1191" s="258">
        <v>1330</v>
      </c>
      <c r="F1191" s="258"/>
      <c r="G1191" s="261"/>
      <c r="H1191" s="261"/>
      <c r="I1191" s="261"/>
      <c r="J1191" s="152"/>
    </row>
    <row r="1192" spans="1:10" ht="15">
      <c r="A1192" s="267"/>
      <c r="B1192" s="250"/>
      <c r="C1192" s="250" t="s">
        <v>392</v>
      </c>
      <c r="D1192" s="250"/>
      <c r="E1192" s="258">
        <v>9100</v>
      </c>
      <c r="F1192" s="258"/>
      <c r="G1192" s="261"/>
      <c r="H1192" s="261"/>
      <c r="I1192" s="261"/>
      <c r="J1192" s="152"/>
    </row>
    <row r="1193" spans="1:10" ht="15">
      <c r="A1193" s="267"/>
      <c r="B1193" s="250"/>
      <c r="C1193" s="250" t="s">
        <v>392</v>
      </c>
      <c r="D1193" s="250"/>
      <c r="E1193" s="258">
        <v>1189.1300000000001</v>
      </c>
      <c r="F1193" s="258"/>
      <c r="G1193" s="261"/>
      <c r="H1193" s="261"/>
      <c r="I1193" s="261"/>
      <c r="J1193" s="152"/>
    </row>
    <row r="1194" spans="1:10" ht="15">
      <c r="A1194" s="267"/>
      <c r="B1194" s="250"/>
      <c r="C1194" s="250" t="s">
        <v>392</v>
      </c>
      <c r="D1194" s="250"/>
      <c r="E1194" s="258">
        <v>24200</v>
      </c>
      <c r="F1194" s="258"/>
      <c r="G1194" s="261"/>
      <c r="H1194" s="261"/>
      <c r="I1194" s="261"/>
      <c r="J1194" s="152"/>
    </row>
    <row r="1195" spans="1:10" ht="15">
      <c r="A1195" s="267"/>
      <c r="B1195" s="250"/>
      <c r="C1195" s="250" t="s">
        <v>1667</v>
      </c>
      <c r="D1195" s="250"/>
      <c r="E1195" s="258">
        <v>500</v>
      </c>
      <c r="F1195" s="258"/>
      <c r="G1195" s="261"/>
      <c r="H1195" s="261"/>
      <c r="I1195" s="261"/>
      <c r="J1195" s="152"/>
    </row>
    <row r="1196" spans="1:10" ht="15">
      <c r="A1196" s="267"/>
      <c r="B1196" s="250"/>
      <c r="C1196" s="250" t="s">
        <v>1668</v>
      </c>
      <c r="D1196" s="250"/>
      <c r="E1196" s="258">
        <v>1000</v>
      </c>
      <c r="F1196" s="258"/>
      <c r="G1196" s="261"/>
      <c r="H1196" s="261"/>
      <c r="I1196" s="261"/>
      <c r="J1196" s="152"/>
    </row>
    <row r="1197" spans="1:10" ht="15">
      <c r="A1197" s="267"/>
      <c r="B1197" s="250"/>
      <c r="C1197" s="250" t="s">
        <v>1669</v>
      </c>
      <c r="D1197" s="250"/>
      <c r="E1197" s="258">
        <v>2000</v>
      </c>
      <c r="F1197" s="258"/>
      <c r="G1197" s="261"/>
      <c r="H1197" s="261"/>
      <c r="I1197" s="261"/>
      <c r="J1197" s="152"/>
    </row>
    <row r="1198" spans="1:10" ht="15">
      <c r="A1198" s="267"/>
      <c r="B1198" s="250"/>
      <c r="C1198" s="250" t="s">
        <v>1670</v>
      </c>
      <c r="E1198" s="151">
        <f>640</f>
        <v>640</v>
      </c>
      <c r="F1198" s="229"/>
      <c r="G1198" s="261"/>
      <c r="H1198" s="261"/>
      <c r="I1198" s="261"/>
      <c r="J1198" s="152"/>
    </row>
    <row r="1199" spans="1:10" ht="15">
      <c r="A1199" s="267"/>
      <c r="B1199" s="250"/>
      <c r="C1199" s="250" t="s">
        <v>1671</v>
      </c>
      <c r="E1199" s="152">
        <v>800</v>
      </c>
      <c r="F1199" s="229"/>
      <c r="G1199" s="261"/>
      <c r="H1199" s="261"/>
      <c r="I1199" s="261"/>
      <c r="J1199" s="152"/>
    </row>
    <row r="1200" spans="1:10" ht="15">
      <c r="A1200" s="267"/>
      <c r="B1200" s="250"/>
      <c r="C1200" s="250" t="s">
        <v>1672</v>
      </c>
      <c r="D1200" s="250"/>
      <c r="E1200" s="258">
        <v>2000</v>
      </c>
      <c r="F1200" s="229"/>
      <c r="G1200" s="261"/>
      <c r="H1200" s="261"/>
      <c r="I1200" s="261"/>
      <c r="J1200" s="152"/>
    </row>
    <row r="1201" spans="1:10" ht="15">
      <c r="A1201" s="267"/>
      <c r="B1201" s="274"/>
      <c r="C1201" s="250" t="s">
        <v>1673</v>
      </c>
      <c r="D1201" s="250"/>
      <c r="E1201" s="258">
        <v>5000</v>
      </c>
      <c r="F1201" s="229"/>
      <c r="G1201" s="261"/>
      <c r="H1201" s="261"/>
      <c r="I1201" s="261"/>
      <c r="J1201" s="152"/>
    </row>
    <row r="1202" spans="1:10" ht="15">
      <c r="A1202" s="267"/>
      <c r="B1202" s="274"/>
      <c r="C1202" s="250" t="s">
        <v>1675</v>
      </c>
      <c r="D1202" s="250"/>
      <c r="E1202" s="258">
        <v>15000</v>
      </c>
      <c r="F1202" s="229"/>
      <c r="G1202" s="261"/>
      <c r="H1202" s="261"/>
      <c r="I1202" s="261"/>
      <c r="J1202" s="152"/>
    </row>
    <row r="1203" spans="1:10" ht="15">
      <c r="A1203" s="267"/>
      <c r="B1203" s="274"/>
      <c r="C1203" s="250" t="s">
        <v>1674</v>
      </c>
      <c r="E1203" s="151">
        <v>4500</v>
      </c>
      <c r="F1203" s="229"/>
      <c r="G1203" s="261"/>
      <c r="H1203" s="261"/>
      <c r="I1203" s="261"/>
      <c r="J1203" s="152"/>
    </row>
    <row r="1204" spans="1:10" ht="15" hidden="1">
      <c r="A1204" s="267"/>
      <c r="B1204" s="274"/>
      <c r="C1204" s="250" t="s">
        <v>1001</v>
      </c>
      <c r="E1204" s="151">
        <f>11000-11000</f>
        <v>0</v>
      </c>
      <c r="F1204" s="229"/>
      <c r="G1204" s="261"/>
      <c r="H1204" s="261"/>
      <c r="I1204" s="261"/>
      <c r="J1204" s="152"/>
    </row>
    <row r="1205" spans="1:10" ht="15">
      <c r="A1205" s="267"/>
      <c r="B1205" s="274"/>
      <c r="C1205" s="250" t="s">
        <v>1676</v>
      </c>
      <c r="E1205" s="152">
        <f>770+800</f>
        <v>1570</v>
      </c>
      <c r="F1205" s="229"/>
      <c r="G1205" s="261"/>
      <c r="H1205" s="261"/>
      <c r="I1205" s="261"/>
      <c r="J1205" s="152"/>
    </row>
    <row r="1206" spans="1:10" ht="15">
      <c r="A1206" s="267"/>
      <c r="B1206" s="274"/>
      <c r="C1206" s="250" t="s">
        <v>1676</v>
      </c>
      <c r="E1206" s="152">
        <f>735.5-305.5+36+102</f>
        <v>568</v>
      </c>
      <c r="F1206" s="229"/>
      <c r="G1206" s="261"/>
      <c r="H1206" s="261"/>
      <c r="I1206" s="261"/>
      <c r="J1206" s="152"/>
    </row>
    <row r="1207" spans="1:10" ht="15">
      <c r="A1207" s="267"/>
      <c r="B1207" s="274"/>
      <c r="C1207" s="250" t="s">
        <v>1677</v>
      </c>
      <c r="E1207" s="229">
        <f>3000</f>
        <v>3000</v>
      </c>
      <c r="F1207" s="229"/>
      <c r="G1207" s="261"/>
      <c r="H1207" s="261"/>
      <c r="I1207" s="261"/>
      <c r="J1207" s="152"/>
    </row>
    <row r="1208" spans="1:10" ht="15">
      <c r="A1208" s="267"/>
      <c r="B1208" s="274"/>
      <c r="C1208" s="250" t="s">
        <v>1678</v>
      </c>
      <c r="E1208" s="229">
        <v>2620</v>
      </c>
      <c r="F1208" s="229"/>
      <c r="G1208" s="261"/>
      <c r="H1208" s="261"/>
      <c r="I1208" s="261"/>
      <c r="J1208" s="152"/>
    </row>
    <row r="1209" spans="1:10" ht="15">
      <c r="A1209" s="267"/>
      <c r="B1209" s="274"/>
      <c r="C1209" s="250" t="s">
        <v>1679</v>
      </c>
      <c r="E1209" s="229">
        <f>6000</f>
        <v>6000</v>
      </c>
      <c r="F1209" s="229"/>
      <c r="G1209" s="261"/>
      <c r="H1209" s="261"/>
      <c r="I1209" s="261"/>
      <c r="J1209" s="152"/>
    </row>
    <row r="1210" spans="1:10" ht="15">
      <c r="A1210" s="267"/>
      <c r="B1210" s="274"/>
      <c r="C1210" s="250" t="s">
        <v>1680</v>
      </c>
      <c r="D1210" s="250"/>
      <c r="E1210" s="258">
        <v>4000</v>
      </c>
      <c r="F1210" s="229"/>
      <c r="G1210" s="261"/>
      <c r="H1210" s="261"/>
      <c r="I1210" s="261"/>
      <c r="J1210" s="152"/>
    </row>
    <row r="1211" spans="1:10" ht="15">
      <c r="A1211" s="267"/>
      <c r="B1211" s="274"/>
      <c r="C1211" s="250" t="s">
        <v>1680</v>
      </c>
      <c r="E1211" s="229">
        <v>5000</v>
      </c>
      <c r="F1211" s="229"/>
      <c r="G1211" s="261"/>
      <c r="H1211" s="261"/>
      <c r="I1211" s="261"/>
      <c r="J1211" s="152"/>
    </row>
    <row r="1212" spans="1:10" ht="15">
      <c r="A1212" s="267"/>
      <c r="B1212" s="274"/>
      <c r="C1212" s="250" t="s">
        <v>1687</v>
      </c>
      <c r="E1212" s="229">
        <v>5000</v>
      </c>
      <c r="F1212" s="229"/>
      <c r="G1212" s="261"/>
      <c r="H1212" s="261"/>
      <c r="I1212" s="261"/>
      <c r="J1212" s="152"/>
    </row>
    <row r="1213" spans="1:10" ht="15" hidden="1">
      <c r="A1213" s="267"/>
      <c r="B1213" s="274"/>
      <c r="C1213" s="250" t="s">
        <v>1687</v>
      </c>
      <c r="E1213" s="229">
        <f>3700-3700</f>
        <v>0</v>
      </c>
      <c r="F1213" s="229"/>
      <c r="G1213" s="261"/>
      <c r="H1213" s="261"/>
      <c r="I1213" s="261"/>
      <c r="J1213" s="152"/>
    </row>
    <row r="1214" spans="1:10" ht="15" hidden="1">
      <c r="A1214" s="267"/>
      <c r="B1214" s="274"/>
      <c r="C1214" s="250" t="s">
        <v>1687</v>
      </c>
      <c r="E1214" s="229">
        <f>9500-9500</f>
        <v>0</v>
      </c>
      <c r="F1214" s="229"/>
      <c r="G1214" s="261"/>
      <c r="H1214" s="261"/>
      <c r="I1214" s="261"/>
      <c r="J1214" s="152"/>
    </row>
    <row r="1215" spans="1:10" ht="15" hidden="1">
      <c r="A1215" s="267"/>
      <c r="B1215" s="274"/>
      <c r="C1215" s="250" t="s">
        <v>1687</v>
      </c>
      <c r="E1215" s="229">
        <f>1300-1300</f>
        <v>0</v>
      </c>
      <c r="F1215" s="229"/>
      <c r="G1215" s="261"/>
      <c r="H1215" s="261"/>
      <c r="I1215" s="261"/>
      <c r="J1215" s="152"/>
    </row>
    <row r="1216" spans="1:10" ht="15">
      <c r="A1216" s="267"/>
      <c r="B1216" s="274"/>
      <c r="C1216" s="250" t="s">
        <v>1652</v>
      </c>
      <c r="D1216" s="250"/>
      <c r="E1216" s="258">
        <v>3000</v>
      </c>
      <c r="F1216" s="229"/>
      <c r="G1216" s="334"/>
      <c r="H1216" s="261"/>
      <c r="I1216" s="261"/>
      <c r="J1216" s="152"/>
    </row>
    <row r="1217" spans="1:10" ht="15">
      <c r="A1217" s="267"/>
      <c r="B1217" s="274"/>
      <c r="C1217" s="250" t="s">
        <v>1688</v>
      </c>
      <c r="E1217" s="151">
        <v>1000</v>
      </c>
      <c r="F1217" s="229"/>
      <c r="G1217" s="334"/>
      <c r="H1217" s="261"/>
      <c r="I1217" s="261"/>
      <c r="J1217" s="152"/>
    </row>
    <row r="1218" spans="1:10" ht="15">
      <c r="A1218" s="267"/>
      <c r="B1218" s="274"/>
      <c r="C1218" s="250" t="s">
        <v>1689</v>
      </c>
      <c r="D1218" s="250"/>
      <c r="E1218" s="258">
        <v>17000</v>
      </c>
      <c r="F1218" s="229"/>
      <c r="G1218" s="334"/>
      <c r="H1218" s="261"/>
      <c r="I1218" s="261"/>
      <c r="J1218" s="152"/>
    </row>
    <row r="1219" spans="1:10" ht="15">
      <c r="A1219" s="267"/>
      <c r="B1219" s="274"/>
      <c r="C1219" s="250" t="s">
        <v>1861</v>
      </c>
      <c r="D1219" s="250"/>
      <c r="E1219" s="258">
        <v>22</v>
      </c>
      <c r="F1219" s="229"/>
      <c r="G1219" s="334"/>
      <c r="H1219" s="261"/>
      <c r="I1219" s="261"/>
      <c r="J1219" s="152"/>
    </row>
    <row r="1220" spans="1:10" ht="15">
      <c r="A1220" s="267"/>
      <c r="B1220" s="274"/>
      <c r="C1220" s="250" t="s">
        <v>1862</v>
      </c>
      <c r="D1220" s="152"/>
      <c r="E1220" s="229">
        <v>500</v>
      </c>
      <c r="F1220" s="229"/>
      <c r="G1220" s="261"/>
      <c r="H1220" s="261"/>
      <c r="I1220" s="261"/>
      <c r="J1220" s="152"/>
    </row>
    <row r="1221" spans="1:10" ht="15">
      <c r="A1221" s="267"/>
      <c r="B1221" s="274"/>
      <c r="C1221" s="250" t="s">
        <v>327</v>
      </c>
      <c r="D1221" s="250"/>
      <c r="E1221" s="258">
        <v>910</v>
      </c>
      <c r="F1221" s="229"/>
      <c r="G1221" s="261"/>
      <c r="H1221" s="261"/>
      <c r="I1221" s="261"/>
      <c r="J1221" s="152"/>
    </row>
    <row r="1222" spans="1:10" ht="15">
      <c r="A1222" s="267"/>
      <c r="B1222" s="274"/>
      <c r="C1222" s="250" t="s">
        <v>1820</v>
      </c>
      <c r="E1222" s="152">
        <v>12000</v>
      </c>
      <c r="F1222" s="229"/>
      <c r="G1222" s="261"/>
      <c r="H1222" s="261"/>
      <c r="I1222" s="261"/>
      <c r="J1222" s="152"/>
    </row>
    <row r="1223" spans="1:10" ht="15">
      <c r="A1223" s="267"/>
      <c r="B1223" s="274"/>
      <c r="C1223" s="250" t="s">
        <v>1822</v>
      </c>
      <c r="E1223" s="151">
        <v>1000</v>
      </c>
      <c r="F1223" s="229"/>
      <c r="G1223" s="261"/>
      <c r="H1223" s="261"/>
      <c r="I1223" s="261"/>
      <c r="J1223" s="152"/>
    </row>
    <row r="1224" spans="1:10" ht="15">
      <c r="A1224" s="267"/>
      <c r="B1224" s="274"/>
      <c r="C1224" s="250" t="s">
        <v>1653</v>
      </c>
      <c r="D1224" s="250"/>
      <c r="E1224" s="258">
        <v>1000</v>
      </c>
      <c r="F1224" s="229"/>
      <c r="G1224" s="261"/>
      <c r="H1224" s="261"/>
      <c r="I1224" s="261"/>
      <c r="J1224" s="152"/>
    </row>
    <row r="1225" spans="1:10" ht="15">
      <c r="A1225" s="267"/>
      <c r="B1225" s="274"/>
      <c r="C1225" s="250" t="s">
        <v>1824</v>
      </c>
      <c r="D1225" s="250"/>
      <c r="E1225" s="258">
        <v>570</v>
      </c>
      <c r="F1225" s="229"/>
      <c r="G1225" s="295" t="s">
        <v>1821</v>
      </c>
      <c r="H1225" s="261"/>
      <c r="I1225" s="261"/>
      <c r="J1225" s="152"/>
    </row>
    <row r="1226" spans="1:10" ht="15">
      <c r="A1226" s="267"/>
      <c r="B1226" s="274"/>
      <c r="C1226" s="250" t="s">
        <v>1825</v>
      </c>
      <c r="E1226" s="152">
        <v>6000</v>
      </c>
      <c r="F1226" s="229"/>
      <c r="G1226" s="261" t="s">
        <v>1823</v>
      </c>
      <c r="H1226" s="261"/>
      <c r="I1226" s="261">
        <v>2400</v>
      </c>
      <c r="J1226" s="152"/>
    </row>
    <row r="1227" spans="1:10" ht="15">
      <c r="A1227" s="267"/>
      <c r="B1227" s="274"/>
      <c r="C1227" s="250" t="s">
        <v>1826</v>
      </c>
      <c r="E1227" s="151">
        <f>100+149</f>
        <v>249</v>
      </c>
      <c r="F1227" s="229"/>
      <c r="G1227" s="261"/>
      <c r="H1227" s="261"/>
      <c r="I1227" s="261">
        <v>119879.44</v>
      </c>
      <c r="J1227" s="152"/>
    </row>
    <row r="1228" spans="1:10" ht="15">
      <c r="A1228" s="267"/>
      <c r="B1228" s="274"/>
      <c r="C1228" s="250" t="s">
        <v>620</v>
      </c>
      <c r="D1228" s="250"/>
      <c r="E1228" s="258">
        <v>6000</v>
      </c>
      <c r="F1228" s="229"/>
      <c r="G1228" s="261"/>
      <c r="H1228" s="261"/>
      <c r="I1228" s="261"/>
      <c r="J1228" s="152"/>
    </row>
    <row r="1229" spans="1:10" ht="15">
      <c r="A1229" s="267"/>
      <c r="B1229" s="274"/>
      <c r="C1229" s="250" t="s">
        <v>328</v>
      </c>
      <c r="D1229" s="250"/>
      <c r="E1229" s="258">
        <v>14800</v>
      </c>
      <c r="F1229" s="229"/>
      <c r="G1229" s="261"/>
      <c r="H1229" s="261"/>
      <c r="I1229" s="261"/>
      <c r="J1229" s="152"/>
    </row>
    <row r="1230" spans="1:10" ht="15">
      <c r="A1230" s="267"/>
      <c r="B1230" s="274"/>
      <c r="C1230" s="250" t="s">
        <v>621</v>
      </c>
      <c r="D1230" s="250"/>
      <c r="E1230" s="258">
        <v>133.30000000000001</v>
      </c>
      <c r="F1230" s="229"/>
      <c r="G1230" s="261"/>
      <c r="H1230" s="261"/>
      <c r="I1230" s="261"/>
      <c r="J1230" s="152"/>
    </row>
    <row r="1231" spans="1:10" ht="15">
      <c r="A1231" s="267"/>
      <c r="B1231" s="274"/>
      <c r="C1231" s="250" t="s">
        <v>1654</v>
      </c>
      <c r="D1231" s="250"/>
      <c r="E1231" s="258">
        <v>4000</v>
      </c>
      <c r="F1231" s="229"/>
      <c r="G1231" s="261"/>
      <c r="H1231" s="261"/>
      <c r="I1231" s="261"/>
      <c r="J1231" s="152"/>
    </row>
    <row r="1232" spans="1:10" ht="15">
      <c r="A1232" s="267"/>
      <c r="B1232" s="274"/>
      <c r="C1232" s="250" t="s">
        <v>824</v>
      </c>
      <c r="D1232" s="250"/>
      <c r="E1232" s="258">
        <v>1000</v>
      </c>
      <c r="F1232" s="229"/>
      <c r="G1232" s="261"/>
      <c r="H1232" s="261"/>
      <c r="I1232" s="261">
        <v>2000</v>
      </c>
      <c r="J1232" s="152"/>
    </row>
    <row r="1233" spans="1:10" ht="15">
      <c r="A1233" s="267"/>
      <c r="B1233" s="274"/>
      <c r="C1233" s="250" t="s">
        <v>824</v>
      </c>
      <c r="D1233" s="250"/>
      <c r="E1233" s="258">
        <v>1000</v>
      </c>
      <c r="F1233" s="315"/>
      <c r="G1233" s="261"/>
      <c r="H1233" s="261">
        <v>119879.44</v>
      </c>
      <c r="I1233" s="152"/>
      <c r="J1233" s="152"/>
    </row>
    <row r="1234" spans="1:10" ht="15">
      <c r="A1234" s="267"/>
      <c r="B1234" s="274"/>
      <c r="C1234" s="250" t="s">
        <v>824</v>
      </c>
      <c r="D1234" s="250"/>
      <c r="E1234" s="258">
        <v>2300</v>
      </c>
      <c r="F1234" s="315"/>
      <c r="G1234" s="261"/>
      <c r="H1234" s="261"/>
      <c r="I1234" s="152"/>
      <c r="J1234" s="152"/>
    </row>
    <row r="1235" spans="1:10" ht="15">
      <c r="A1235" s="267"/>
      <c r="B1235" s="274"/>
      <c r="C1235" s="250" t="s">
        <v>1248</v>
      </c>
      <c r="D1235" s="250"/>
      <c r="E1235" s="258">
        <v>15987.21</v>
      </c>
      <c r="F1235" s="315"/>
      <c r="G1235" s="261"/>
      <c r="H1235" s="261"/>
      <c r="I1235" s="152"/>
      <c r="J1235" s="152"/>
    </row>
    <row r="1236" spans="1:10" ht="15">
      <c r="A1236" s="267"/>
      <c r="B1236" s="274"/>
      <c r="C1236" s="250" t="s">
        <v>1248</v>
      </c>
      <c r="D1236" s="250"/>
      <c r="E1236" s="258">
        <v>7470.68</v>
      </c>
      <c r="F1236" s="315"/>
      <c r="G1236" s="261"/>
      <c r="H1236" s="261"/>
      <c r="I1236" s="152"/>
      <c r="J1236" s="152"/>
    </row>
    <row r="1237" spans="1:10" ht="15">
      <c r="A1237" s="267"/>
      <c r="B1237" s="274"/>
      <c r="C1237" s="250" t="s">
        <v>622</v>
      </c>
      <c r="D1237" s="250"/>
      <c r="E1237" s="258">
        <v>2000</v>
      </c>
      <c r="F1237" s="152"/>
      <c r="G1237" s="291"/>
      <c r="H1237" s="261"/>
      <c r="I1237" s="152"/>
      <c r="J1237" s="152"/>
    </row>
    <row r="1238" spans="1:10" ht="15.75" thickBot="1">
      <c r="A1238" s="267"/>
      <c r="B1238" s="274"/>
      <c r="C1238" s="250" t="s">
        <v>622</v>
      </c>
      <c r="E1238" s="151">
        <f>1750-3750+4850+10695+5120-5120</f>
        <v>13545</v>
      </c>
      <c r="F1238" s="315"/>
      <c r="G1238" s="291"/>
      <c r="H1238" s="337">
        <f>SUM(H1021:H1233)</f>
        <v>713019.58000000007</v>
      </c>
      <c r="I1238" s="152"/>
      <c r="J1238" s="152"/>
    </row>
    <row r="1239" spans="1:10" ht="15">
      <c r="A1239" s="267"/>
      <c r="B1239" s="274"/>
      <c r="C1239" s="250" t="s">
        <v>1863</v>
      </c>
      <c r="D1239" s="250"/>
      <c r="E1239" s="258">
        <v>5000</v>
      </c>
      <c r="F1239" s="315"/>
      <c r="G1239" s="291"/>
      <c r="H1239" s="261">
        <v>-39301.449999999997</v>
      </c>
      <c r="I1239" s="152"/>
      <c r="J1239" s="152"/>
    </row>
    <row r="1240" spans="1:10" ht="15">
      <c r="A1240" s="267"/>
      <c r="B1240" s="274"/>
      <c r="C1240" s="250" t="s">
        <v>1864</v>
      </c>
      <c r="D1240" s="250"/>
      <c r="E1240" s="258">
        <v>2000</v>
      </c>
      <c r="F1240" s="315"/>
      <c r="G1240" s="291"/>
      <c r="H1240" s="261"/>
      <c r="I1240" s="152"/>
      <c r="J1240" s="152"/>
    </row>
    <row r="1241" spans="1:10" ht="15">
      <c r="A1241" s="267"/>
      <c r="B1241" s="274"/>
      <c r="C1241" s="250" t="s">
        <v>1865</v>
      </c>
      <c r="D1241" s="250"/>
      <c r="E1241" s="258">
        <v>500</v>
      </c>
      <c r="F1241" s="315"/>
      <c r="G1241" s="291"/>
      <c r="H1241" s="288">
        <f>SUM(H1238:H1239)</f>
        <v>673718.13000000012</v>
      </c>
      <c r="I1241" s="152"/>
      <c r="J1241" s="152"/>
    </row>
    <row r="1242" spans="1:10">
      <c r="A1242" s="267"/>
      <c r="B1242" s="274"/>
      <c r="C1242" s="250" t="s">
        <v>1865</v>
      </c>
      <c r="D1242" s="250"/>
      <c r="E1242" s="258">
        <v>598.25</v>
      </c>
      <c r="F1242" s="315"/>
      <c r="G1242" s="291"/>
      <c r="H1242" s="152"/>
      <c r="I1242" s="152"/>
      <c r="J1242" s="152"/>
    </row>
    <row r="1243" spans="1:10">
      <c r="B1243" s="274"/>
      <c r="C1243" s="250" t="s">
        <v>1866</v>
      </c>
      <c r="D1243" s="152"/>
      <c r="E1243" s="315">
        <v>850</v>
      </c>
      <c r="G1243" s="291"/>
      <c r="H1243" s="152"/>
      <c r="I1243" s="152"/>
      <c r="J1243" s="152"/>
    </row>
    <row r="1244" spans="1:10">
      <c r="B1244" s="274"/>
      <c r="C1244" s="250" t="s">
        <v>1867</v>
      </c>
      <c r="E1244" s="152">
        <v>200</v>
      </c>
      <c r="F1244" s="249"/>
      <c r="G1244" s="291"/>
      <c r="H1244" s="152"/>
      <c r="I1244" s="152"/>
      <c r="J1244" s="152"/>
    </row>
    <row r="1245" spans="1:10">
      <c r="B1245" s="274"/>
      <c r="C1245" s="250" t="s">
        <v>1868</v>
      </c>
      <c r="D1245" s="152"/>
      <c r="E1245" s="229">
        <v>650</v>
      </c>
      <c r="F1245" s="152"/>
      <c r="G1245" s="291"/>
      <c r="H1245" s="152"/>
      <c r="I1245" s="152"/>
      <c r="J1245" s="152"/>
    </row>
    <row r="1246" spans="1:10">
      <c r="B1246" s="274"/>
      <c r="C1246" s="250" t="s">
        <v>1869</v>
      </c>
      <c r="D1246" s="250"/>
      <c r="E1246" s="258">
        <v>20000</v>
      </c>
      <c r="G1246" s="291"/>
      <c r="H1246" s="152"/>
      <c r="I1246" s="152"/>
      <c r="J1246" s="152"/>
    </row>
    <row r="1247" spans="1:10">
      <c r="B1247" s="274"/>
      <c r="C1247" s="250" t="s">
        <v>1870</v>
      </c>
      <c r="E1247" s="152">
        <v>305</v>
      </c>
      <c r="F1247" s="249"/>
      <c r="G1247" s="291"/>
      <c r="H1247" s="152"/>
      <c r="I1247" s="152"/>
      <c r="J1247" s="152"/>
    </row>
    <row r="1248" spans="1:10">
      <c r="B1248" s="274"/>
      <c r="C1248" s="250" t="s">
        <v>1871</v>
      </c>
      <c r="D1248" s="250"/>
      <c r="E1248" s="258">
        <v>10150</v>
      </c>
      <c r="F1248" s="249"/>
      <c r="G1248" s="291"/>
      <c r="H1248" s="152"/>
      <c r="I1248" s="152"/>
      <c r="J1248" s="152"/>
    </row>
    <row r="1249" spans="2:10" hidden="1">
      <c r="B1249" s="274"/>
      <c r="C1249" s="250" t="s">
        <v>1872</v>
      </c>
      <c r="E1249" s="151">
        <f>12500-12500</f>
        <v>0</v>
      </c>
      <c r="H1249" s="152"/>
      <c r="I1249" s="152"/>
      <c r="J1249" s="152"/>
    </row>
    <row r="1250" spans="2:10" hidden="1">
      <c r="B1250" s="274"/>
      <c r="C1250" s="250" t="s">
        <v>1872</v>
      </c>
      <c r="E1250" s="151">
        <f>20000-20000</f>
        <v>0</v>
      </c>
      <c r="H1250" s="152"/>
      <c r="I1250" s="152"/>
      <c r="J1250" s="152"/>
    </row>
    <row r="1251" spans="2:10" hidden="1">
      <c r="B1251" s="274"/>
      <c r="C1251" s="250" t="s">
        <v>1872</v>
      </c>
      <c r="E1251" s="151">
        <f>10200-10200</f>
        <v>0</v>
      </c>
      <c r="H1251" s="152"/>
      <c r="I1251" s="152"/>
      <c r="J1251" s="152"/>
    </row>
    <row r="1252" spans="2:10">
      <c r="B1252" s="274"/>
      <c r="C1252" s="250" t="s">
        <v>1873</v>
      </c>
      <c r="D1252" s="152"/>
      <c r="E1252" s="229">
        <f>2200+1500</f>
        <v>3700</v>
      </c>
      <c r="H1252" s="152"/>
      <c r="I1252" s="152"/>
      <c r="J1252" s="152"/>
    </row>
    <row r="1253" spans="2:10">
      <c r="B1253" s="274"/>
      <c r="C1253" s="250" t="s">
        <v>1874</v>
      </c>
      <c r="E1253" s="152">
        <f>3000+60-3000+35000-35000+9500+13000-9500-13000</f>
        <v>60</v>
      </c>
      <c r="F1253" s="152"/>
      <c r="G1253" s="255" t="s">
        <v>398</v>
      </c>
      <c r="H1253" s="152"/>
      <c r="I1253" s="152"/>
      <c r="J1253" s="152"/>
    </row>
    <row r="1254" spans="2:10">
      <c r="B1254" s="274"/>
      <c r="C1254" s="250" t="s">
        <v>1874</v>
      </c>
      <c r="E1254" s="151">
        <f>1800+142.5-1800+8000+1500+3000+10000-10000-1500-9500+12500-12500</f>
        <v>1642.5</v>
      </c>
      <c r="F1254" s="246"/>
      <c r="G1254" s="338" t="s">
        <v>399</v>
      </c>
      <c r="H1254" s="152"/>
      <c r="I1254" s="152"/>
      <c r="J1254" s="152"/>
    </row>
    <row r="1255" spans="2:10">
      <c r="B1255" s="274"/>
      <c r="C1255" s="250" t="s">
        <v>400</v>
      </c>
      <c r="D1255" s="152"/>
      <c r="E1255" s="229">
        <v>1200</v>
      </c>
      <c r="F1255" s="246"/>
      <c r="G1255" s="338"/>
      <c r="H1255" s="152"/>
      <c r="I1255" s="152"/>
      <c r="J1255" s="152"/>
    </row>
    <row r="1256" spans="2:10">
      <c r="B1256" s="274"/>
      <c r="C1256" s="250" t="s">
        <v>1081</v>
      </c>
      <c r="E1256" s="151">
        <v>300</v>
      </c>
      <c r="F1256" s="152"/>
      <c r="G1256" s="255" t="s">
        <v>401</v>
      </c>
      <c r="H1256" s="152"/>
      <c r="I1256" s="152"/>
      <c r="J1256" s="152"/>
    </row>
    <row r="1257" spans="2:10">
      <c r="B1257" s="274"/>
      <c r="C1257" s="250" t="s">
        <v>1083</v>
      </c>
      <c r="D1257" s="152"/>
      <c r="E1257" s="229">
        <v>3300</v>
      </c>
      <c r="F1257" s="152"/>
      <c r="G1257" s="255" t="s">
        <v>1082</v>
      </c>
      <c r="H1257" s="152"/>
      <c r="I1257" s="152"/>
      <c r="J1257" s="152"/>
    </row>
    <row r="1258" spans="2:10">
      <c r="B1258" s="274"/>
      <c r="C1258" s="250" t="s">
        <v>1084</v>
      </c>
      <c r="D1258" s="152"/>
      <c r="E1258" s="229">
        <v>900</v>
      </c>
      <c r="G1258" s="291"/>
      <c r="H1258" s="152"/>
      <c r="I1258" s="152"/>
      <c r="J1258" s="152"/>
    </row>
    <row r="1259" spans="2:10">
      <c r="B1259" s="274"/>
      <c r="C1259" s="250" t="s">
        <v>1139</v>
      </c>
      <c r="E1259" s="152">
        <v>8500</v>
      </c>
      <c r="F1259" s="246"/>
      <c r="G1259" s="291"/>
      <c r="H1259" s="152" t="s">
        <v>1138</v>
      </c>
      <c r="I1259" s="152"/>
      <c r="J1259" s="152"/>
    </row>
    <row r="1260" spans="2:10">
      <c r="B1260" s="274"/>
      <c r="C1260" s="250" t="s">
        <v>1141</v>
      </c>
      <c r="E1260" s="152">
        <v>9548.6</v>
      </c>
      <c r="F1260" s="249"/>
      <c r="G1260" s="291"/>
      <c r="H1260" s="152" t="s">
        <v>1140</v>
      </c>
      <c r="I1260" s="152"/>
      <c r="J1260" s="152"/>
    </row>
    <row r="1261" spans="2:10">
      <c r="B1261" s="274"/>
      <c r="C1261" s="250" t="s">
        <v>1143</v>
      </c>
      <c r="E1261" s="152">
        <f>3000</f>
        <v>3000</v>
      </c>
      <c r="F1261" s="249"/>
      <c r="G1261" s="291"/>
      <c r="H1261" s="152" t="s">
        <v>1142</v>
      </c>
      <c r="I1261" s="152"/>
      <c r="J1261" s="152"/>
    </row>
    <row r="1262" spans="2:10">
      <c r="B1262" s="274"/>
      <c r="C1262" s="250" t="s">
        <v>2059</v>
      </c>
      <c r="D1262" s="250"/>
      <c r="E1262" s="258">
        <v>850</v>
      </c>
      <c r="F1262" s="249"/>
      <c r="G1262" s="291"/>
      <c r="H1262" s="152"/>
      <c r="I1262" s="152"/>
      <c r="J1262" s="152"/>
    </row>
    <row r="1263" spans="2:10">
      <c r="B1263" s="274"/>
      <c r="C1263" s="250" t="s">
        <v>2059</v>
      </c>
      <c r="D1263" s="250"/>
      <c r="E1263" s="258">
        <v>500</v>
      </c>
      <c r="F1263" s="249"/>
      <c r="G1263" s="252"/>
      <c r="H1263" s="152"/>
      <c r="I1263" s="152"/>
      <c r="J1263" s="152"/>
    </row>
    <row r="1264" spans="2:10">
      <c r="B1264" s="274"/>
      <c r="C1264" s="250" t="s">
        <v>2059</v>
      </c>
      <c r="D1264" s="250"/>
      <c r="E1264" s="258">
        <v>500</v>
      </c>
      <c r="F1264" s="339"/>
      <c r="G1264" s="291"/>
      <c r="H1264" s="152"/>
      <c r="I1264" s="152"/>
      <c r="J1264" s="152"/>
    </row>
    <row r="1265" spans="2:10">
      <c r="B1265" s="274"/>
      <c r="C1265" s="250" t="s">
        <v>2060</v>
      </c>
      <c r="D1265" s="250"/>
      <c r="E1265" s="258">
        <v>300</v>
      </c>
      <c r="F1265" s="249"/>
      <c r="G1265" s="291"/>
      <c r="H1265" s="152"/>
      <c r="I1265" s="152"/>
      <c r="J1265" s="152"/>
    </row>
    <row r="1266" spans="2:10">
      <c r="B1266" s="274"/>
      <c r="C1266" s="250" t="s">
        <v>2061</v>
      </c>
      <c r="D1266" s="250"/>
      <c r="E1266" s="258">
        <v>50</v>
      </c>
      <c r="F1266" s="249"/>
      <c r="G1266" s="291"/>
      <c r="H1266" s="152"/>
      <c r="I1266" s="152"/>
      <c r="J1266" s="152"/>
    </row>
    <row r="1267" spans="2:10">
      <c r="B1267" s="274"/>
      <c r="C1267" s="250" t="s">
        <v>2061</v>
      </c>
      <c r="D1267" s="250"/>
      <c r="E1267" s="258">
        <v>4500</v>
      </c>
      <c r="F1267" s="249"/>
      <c r="G1267" s="291"/>
      <c r="H1267" s="152"/>
      <c r="I1267" s="152"/>
      <c r="J1267" s="152"/>
    </row>
    <row r="1268" spans="2:10">
      <c r="B1268" s="274"/>
      <c r="C1268" s="250" t="s">
        <v>2062</v>
      </c>
      <c r="D1268" s="250"/>
      <c r="E1268" s="258">
        <v>200</v>
      </c>
      <c r="F1268" s="246"/>
      <c r="G1268" s="291"/>
      <c r="H1268" s="152"/>
      <c r="I1268" s="152"/>
      <c r="J1268" s="152"/>
    </row>
    <row r="1269" spans="2:10">
      <c r="B1269" s="274"/>
      <c r="C1269" s="250" t="s">
        <v>2063</v>
      </c>
      <c r="D1269" s="250"/>
      <c r="E1269" s="258">
        <v>3300</v>
      </c>
      <c r="F1269" s="246"/>
      <c r="G1269" s="291"/>
      <c r="H1269" s="152"/>
      <c r="I1269" s="152"/>
      <c r="J1269" s="152"/>
    </row>
    <row r="1270" spans="2:10">
      <c r="B1270" s="274"/>
      <c r="C1270" s="250" t="s">
        <v>1160</v>
      </c>
      <c r="D1270" s="250"/>
      <c r="E1270" s="258">
        <v>3790</v>
      </c>
      <c r="F1270" s="246"/>
      <c r="G1270" s="291"/>
      <c r="H1270" s="152"/>
      <c r="I1270" s="152"/>
      <c r="J1270" s="152"/>
    </row>
    <row r="1271" spans="2:10">
      <c r="B1271" s="274"/>
      <c r="C1271" s="250" t="s">
        <v>547</v>
      </c>
      <c r="E1271" s="151">
        <v>4800</v>
      </c>
      <c r="F1271" s="246"/>
      <c r="G1271" s="318"/>
      <c r="H1271" s="152"/>
      <c r="I1271" s="152"/>
      <c r="J1271" s="152"/>
    </row>
    <row r="1272" spans="2:10">
      <c r="B1272" s="274"/>
      <c r="C1272" s="250" t="s">
        <v>1161</v>
      </c>
      <c r="E1272" s="151">
        <v>8293</v>
      </c>
      <c r="F1272" s="246"/>
      <c r="G1272" s="318"/>
      <c r="H1272" s="152"/>
      <c r="I1272" s="152"/>
      <c r="J1272" s="152"/>
    </row>
    <row r="1273" spans="2:10">
      <c r="B1273" s="274"/>
      <c r="C1273" s="250" t="s">
        <v>1162</v>
      </c>
      <c r="E1273" s="151">
        <f>3000+4000-4000</f>
        <v>3000</v>
      </c>
      <c r="F1273" s="246"/>
      <c r="G1273" s="318"/>
      <c r="H1273" s="152"/>
      <c r="I1273" s="152"/>
      <c r="J1273" s="152"/>
    </row>
    <row r="1274" spans="2:10">
      <c r="B1274" s="274"/>
      <c r="C1274" s="250" t="s">
        <v>1163</v>
      </c>
      <c r="D1274" s="250"/>
      <c r="E1274" s="258">
        <v>1448.7</v>
      </c>
      <c r="F1274" s="246"/>
      <c r="G1274" s="318"/>
      <c r="H1274" s="152"/>
      <c r="I1274" s="152"/>
      <c r="J1274" s="152"/>
    </row>
    <row r="1275" spans="2:10">
      <c r="B1275" s="274"/>
      <c r="C1275" s="250" t="s">
        <v>1164</v>
      </c>
      <c r="E1275" s="151">
        <v>40</v>
      </c>
      <c r="F1275" s="246"/>
      <c r="G1275" s="291"/>
      <c r="H1275" s="152"/>
      <c r="I1275" s="152"/>
      <c r="J1275" s="152"/>
    </row>
    <row r="1276" spans="2:10">
      <c r="B1276" s="274"/>
      <c r="C1276" s="250" t="s">
        <v>1165</v>
      </c>
      <c r="E1276" s="151">
        <f>7500</f>
        <v>7500</v>
      </c>
      <c r="F1276" s="246"/>
      <c r="G1276" s="291"/>
      <c r="H1276" s="152"/>
      <c r="I1276" s="152"/>
      <c r="J1276" s="152"/>
    </row>
    <row r="1277" spans="2:10">
      <c r="B1277" s="274"/>
      <c r="C1277" s="250" t="s">
        <v>1165</v>
      </c>
      <c r="E1277" s="151">
        <v>5000</v>
      </c>
      <c r="F1277" s="246"/>
      <c r="G1277" s="291"/>
      <c r="H1277" s="152"/>
      <c r="I1277" s="152"/>
      <c r="J1277" s="152"/>
    </row>
    <row r="1278" spans="2:10">
      <c r="B1278" s="274"/>
      <c r="C1278" s="250" t="s">
        <v>1166</v>
      </c>
      <c r="D1278" s="250"/>
      <c r="E1278" s="258">
        <v>400</v>
      </c>
      <c r="F1278" s="246"/>
      <c r="G1278" s="291"/>
      <c r="H1278" s="152"/>
      <c r="I1278" s="152"/>
      <c r="J1278" s="152"/>
    </row>
    <row r="1279" spans="2:10">
      <c r="B1279" s="274"/>
      <c r="C1279" s="250" t="s">
        <v>1167</v>
      </c>
      <c r="D1279" s="250"/>
      <c r="E1279" s="258">
        <v>500</v>
      </c>
      <c r="F1279" s="246"/>
      <c r="G1279" s="291"/>
      <c r="H1279" s="152"/>
      <c r="I1279" s="152"/>
      <c r="J1279" s="152"/>
    </row>
    <row r="1280" spans="2:10" ht="15">
      <c r="B1280" s="274"/>
      <c r="C1280" s="250" t="s">
        <v>1167</v>
      </c>
      <c r="D1280" s="250"/>
      <c r="E1280" s="258">
        <v>1000</v>
      </c>
      <c r="F1280" s="298"/>
      <c r="G1280" s="291"/>
      <c r="H1280" s="152"/>
      <c r="I1280" s="152"/>
      <c r="J1280" s="152"/>
    </row>
    <row r="1281" spans="2:10" ht="15">
      <c r="B1281" s="274"/>
      <c r="C1281" s="250" t="s">
        <v>1167</v>
      </c>
      <c r="D1281" s="250"/>
      <c r="E1281" s="258">
        <v>1400</v>
      </c>
      <c r="F1281" s="298"/>
      <c r="G1281" s="291"/>
      <c r="H1281" s="152"/>
      <c r="I1281" s="152"/>
      <c r="J1281" s="152"/>
    </row>
    <row r="1282" spans="2:10" ht="15">
      <c r="B1282" s="274"/>
      <c r="C1282" s="250" t="s">
        <v>1167</v>
      </c>
      <c r="D1282" s="250"/>
      <c r="E1282" s="258">
        <v>500</v>
      </c>
      <c r="F1282" s="298"/>
      <c r="G1282" s="291"/>
      <c r="H1282" s="152"/>
      <c r="I1282" s="152"/>
      <c r="J1282" s="152"/>
    </row>
    <row r="1283" spans="2:10" ht="15">
      <c r="B1283" s="274"/>
      <c r="C1283" s="250" t="s">
        <v>1167</v>
      </c>
      <c r="D1283" s="250"/>
      <c r="E1283" s="258">
        <v>300</v>
      </c>
      <c r="F1283" s="298"/>
      <c r="G1283" s="291"/>
      <c r="H1283" s="152"/>
      <c r="I1283" s="152"/>
      <c r="J1283" s="152"/>
    </row>
    <row r="1284" spans="2:10" ht="15">
      <c r="B1284" s="274"/>
      <c r="C1284" s="250" t="s">
        <v>1167</v>
      </c>
      <c r="E1284" s="151">
        <f>57+323+850+83</f>
        <v>1313</v>
      </c>
      <c r="F1284" s="298"/>
      <c r="G1284" s="291"/>
      <c r="H1284" s="152"/>
      <c r="I1284" s="152"/>
      <c r="J1284" s="152"/>
    </row>
    <row r="1285" spans="2:10" ht="15">
      <c r="B1285" s="274"/>
      <c r="C1285" s="250" t="s">
        <v>1168</v>
      </c>
      <c r="D1285" s="250"/>
      <c r="E1285" s="258">
        <v>1000</v>
      </c>
      <c r="F1285" s="298"/>
      <c r="G1285" s="291"/>
      <c r="H1285" s="152"/>
      <c r="I1285" s="152"/>
      <c r="J1285" s="152"/>
    </row>
    <row r="1286" spans="2:10" ht="15">
      <c r="B1286" s="274"/>
      <c r="C1286" s="250" t="s">
        <v>1169</v>
      </c>
      <c r="D1286" s="250"/>
      <c r="E1286" s="258">
        <v>1320</v>
      </c>
      <c r="F1286" s="298"/>
      <c r="G1286" s="291"/>
      <c r="H1286" s="152"/>
      <c r="I1286" s="152"/>
      <c r="J1286" s="152"/>
    </row>
    <row r="1287" spans="2:10" ht="15">
      <c r="B1287" s="274"/>
      <c r="C1287" s="250" t="s">
        <v>1184</v>
      </c>
      <c r="D1287" s="250"/>
      <c r="E1287" s="258">
        <v>1000</v>
      </c>
      <c r="F1287" s="298"/>
      <c r="G1287" s="291"/>
      <c r="H1287" s="152"/>
      <c r="I1287" s="152"/>
      <c r="J1287" s="152"/>
    </row>
    <row r="1288" spans="2:10" ht="15">
      <c r="B1288" s="274"/>
      <c r="C1288" s="250" t="s">
        <v>1185</v>
      </c>
      <c r="D1288" s="250"/>
      <c r="E1288" s="258">
        <v>500</v>
      </c>
      <c r="F1288" s="298"/>
      <c r="G1288" s="291"/>
      <c r="H1288" s="152"/>
      <c r="I1288" s="152"/>
      <c r="J1288" s="152"/>
    </row>
    <row r="1289" spans="2:10" ht="15">
      <c r="B1289" s="274"/>
      <c r="C1289" s="250" t="s">
        <v>1185</v>
      </c>
      <c r="D1289" s="250"/>
      <c r="E1289" s="258">
        <v>400</v>
      </c>
      <c r="F1289" s="298"/>
      <c r="G1289" s="291"/>
      <c r="H1289" s="152"/>
      <c r="I1289" s="152"/>
      <c r="J1289" s="152"/>
    </row>
    <row r="1290" spans="2:10" ht="15">
      <c r="B1290" s="274"/>
      <c r="C1290" s="250" t="s">
        <v>1185</v>
      </c>
      <c r="D1290" s="250"/>
      <c r="E1290" s="258">
        <v>400</v>
      </c>
      <c r="F1290" s="298"/>
      <c r="G1290" s="291"/>
      <c r="H1290" s="152"/>
      <c r="I1290" s="152"/>
      <c r="J1290" s="152"/>
    </row>
    <row r="1291" spans="2:10" ht="15">
      <c r="B1291" s="274"/>
      <c r="C1291" s="250" t="s">
        <v>1186</v>
      </c>
      <c r="D1291" s="250"/>
      <c r="E1291" s="258">
        <v>4000</v>
      </c>
      <c r="F1291" s="298"/>
      <c r="G1291" s="291"/>
      <c r="H1291" s="152"/>
      <c r="I1291" s="152"/>
      <c r="J1291" s="152"/>
    </row>
    <row r="1292" spans="2:10" ht="15">
      <c r="B1292" s="274"/>
      <c r="C1292" s="250" t="s">
        <v>1187</v>
      </c>
      <c r="D1292" s="250"/>
      <c r="E1292" s="258">
        <f>1100+787</f>
        <v>1887</v>
      </c>
      <c r="F1292" s="298"/>
      <c r="G1292" s="291"/>
      <c r="H1292" s="152"/>
      <c r="I1292" s="152"/>
      <c r="J1292" s="152"/>
    </row>
    <row r="1293" spans="2:10" ht="15">
      <c r="B1293" s="274"/>
      <c r="C1293" s="250" t="s">
        <v>1188</v>
      </c>
      <c r="D1293" s="250"/>
      <c r="E1293" s="258">
        <f>522</f>
        <v>522</v>
      </c>
      <c r="F1293" s="298"/>
      <c r="G1293" s="291"/>
      <c r="H1293" s="152"/>
      <c r="I1293" s="152"/>
      <c r="J1293" s="152"/>
    </row>
    <row r="1294" spans="2:10" ht="15">
      <c r="B1294" s="274"/>
      <c r="C1294" s="250" t="s">
        <v>1189</v>
      </c>
      <c r="D1294" s="250"/>
      <c r="E1294" s="258">
        <v>15000</v>
      </c>
      <c r="F1294" s="298"/>
      <c r="G1294" s="291"/>
      <c r="H1294" s="152"/>
      <c r="I1294" s="152"/>
      <c r="J1294" s="152"/>
    </row>
    <row r="1295" spans="2:10" ht="15">
      <c r="B1295" s="274"/>
      <c r="C1295" s="250" t="s">
        <v>1190</v>
      </c>
      <c r="E1295" s="151">
        <f>315+254+65</f>
        <v>634</v>
      </c>
      <c r="F1295" s="298"/>
      <c r="G1295" s="291"/>
      <c r="H1295" s="152"/>
      <c r="I1295" s="152"/>
      <c r="J1295" s="152"/>
    </row>
    <row r="1296" spans="2:10" ht="15">
      <c r="B1296" s="274"/>
      <c r="C1296" s="250" t="s">
        <v>1191</v>
      </c>
      <c r="D1296" s="152"/>
      <c r="E1296" s="229">
        <v>578</v>
      </c>
      <c r="F1296" s="298"/>
      <c r="G1296" s="291"/>
      <c r="H1296" s="152"/>
      <c r="I1296" s="152"/>
      <c r="J1296" s="152"/>
    </row>
    <row r="1297" spans="2:10" ht="15">
      <c r="B1297" s="274"/>
      <c r="C1297" s="250" t="s">
        <v>1191</v>
      </c>
      <c r="D1297" s="152"/>
      <c r="E1297" s="229">
        <v>520</v>
      </c>
      <c r="F1297" s="298"/>
      <c r="G1297" s="291"/>
      <c r="H1297" s="152" t="e">
        <f>#REF!-#REF!</f>
        <v>#REF!</v>
      </c>
      <c r="I1297" s="152"/>
      <c r="J1297" s="152"/>
    </row>
    <row r="1298" spans="2:10" ht="15">
      <c r="B1298" s="274"/>
      <c r="C1298" s="250" t="s">
        <v>2421</v>
      </c>
      <c r="D1298" s="152"/>
      <c r="E1298" s="229">
        <v>15000</v>
      </c>
      <c r="F1298" s="298"/>
      <c r="G1298" s="291"/>
      <c r="H1298" s="152"/>
      <c r="I1298" s="152"/>
      <c r="J1298" s="152"/>
    </row>
    <row r="1299" spans="2:10" ht="15">
      <c r="B1299" s="274"/>
      <c r="C1299" s="250" t="s">
        <v>2452</v>
      </c>
      <c r="E1299" s="151">
        <f>10000+3000</f>
        <v>13000</v>
      </c>
      <c r="F1299" s="298"/>
      <c r="G1299" s="291"/>
      <c r="H1299" s="152"/>
      <c r="I1299" s="152"/>
      <c r="J1299" s="152"/>
    </row>
    <row r="1300" spans="2:10" ht="15">
      <c r="B1300" s="274"/>
      <c r="C1300" s="250" t="s">
        <v>2453</v>
      </c>
      <c r="E1300" s="152">
        <v>9000</v>
      </c>
      <c r="F1300" s="298"/>
      <c r="G1300" s="291"/>
      <c r="H1300" s="152"/>
      <c r="I1300" s="152"/>
      <c r="J1300" s="152"/>
    </row>
    <row r="1301" spans="2:10" ht="15">
      <c r="B1301" s="274"/>
      <c r="C1301" s="250" t="s">
        <v>2454</v>
      </c>
      <c r="E1301" s="152">
        <f>3000</f>
        <v>3000</v>
      </c>
      <c r="F1301" s="298"/>
      <c r="G1301" s="291"/>
      <c r="H1301" s="152"/>
      <c r="I1301" s="152"/>
      <c r="J1301" s="152"/>
    </row>
    <row r="1302" spans="2:10" ht="15">
      <c r="B1302" s="274"/>
      <c r="C1302" s="250" t="s">
        <v>2455</v>
      </c>
      <c r="E1302" s="151">
        <v>1130.27</v>
      </c>
      <c r="F1302" s="298"/>
      <c r="G1302" s="291"/>
      <c r="H1302" s="152"/>
      <c r="I1302" s="152"/>
      <c r="J1302" s="152"/>
    </row>
    <row r="1303" spans="2:10" ht="15">
      <c r="B1303" s="274"/>
      <c r="C1303" s="250" t="s">
        <v>2456</v>
      </c>
      <c r="E1303" s="151">
        <f>320+1535.5</f>
        <v>1855.5</v>
      </c>
      <c r="F1303" s="298"/>
      <c r="G1303" s="291"/>
      <c r="H1303" s="152"/>
      <c r="I1303" s="152"/>
      <c r="J1303" s="152"/>
    </row>
    <row r="1304" spans="2:10" ht="15">
      <c r="B1304" s="274"/>
      <c r="C1304" s="250" t="s">
        <v>2457</v>
      </c>
      <c r="E1304" s="151">
        <v>1000</v>
      </c>
      <c r="F1304" s="298"/>
      <c r="G1304" s="291"/>
      <c r="H1304" s="152"/>
      <c r="I1304" s="152"/>
      <c r="J1304" s="152"/>
    </row>
    <row r="1305" spans="2:10" ht="15">
      <c r="B1305" s="274"/>
      <c r="C1305" s="250" t="s">
        <v>2458</v>
      </c>
      <c r="D1305" s="250"/>
      <c r="E1305" s="258">
        <v>300</v>
      </c>
      <c r="F1305" s="298"/>
      <c r="G1305" s="291"/>
      <c r="H1305" s="152"/>
      <c r="I1305" s="152"/>
      <c r="J1305" s="152"/>
    </row>
    <row r="1306" spans="2:10" ht="15">
      <c r="B1306" s="274"/>
      <c r="C1306" s="250" t="s">
        <v>2459</v>
      </c>
      <c r="D1306" s="152"/>
      <c r="E1306" s="229">
        <v>1300</v>
      </c>
      <c r="F1306" s="298"/>
      <c r="G1306" s="291"/>
      <c r="H1306" s="152"/>
      <c r="I1306" s="152"/>
      <c r="J1306" s="152"/>
    </row>
    <row r="1307" spans="2:10" ht="15">
      <c r="B1307" s="274"/>
      <c r="C1307" s="250" t="s">
        <v>2460</v>
      </c>
      <c r="E1307" s="151">
        <v>7000</v>
      </c>
      <c r="F1307" s="298"/>
      <c r="G1307" s="291"/>
      <c r="H1307" s="152"/>
      <c r="I1307" s="152"/>
      <c r="J1307" s="152"/>
    </row>
    <row r="1308" spans="2:10" ht="15">
      <c r="B1308" s="274"/>
      <c r="C1308" s="250" t="s">
        <v>2461</v>
      </c>
      <c r="D1308" s="250"/>
      <c r="E1308" s="258">
        <v>73.19</v>
      </c>
      <c r="F1308" s="298"/>
      <c r="G1308" s="291"/>
      <c r="H1308" s="152"/>
      <c r="I1308" s="152"/>
      <c r="J1308" s="152"/>
    </row>
    <row r="1309" spans="2:10" ht="15">
      <c r="B1309" s="274"/>
      <c r="C1309" s="250" t="s">
        <v>2462</v>
      </c>
      <c r="D1309" s="250"/>
      <c r="E1309" s="258">
        <v>3500</v>
      </c>
      <c r="F1309" s="298"/>
      <c r="G1309" s="291"/>
      <c r="H1309" s="152"/>
      <c r="I1309" s="152"/>
      <c r="J1309" s="152"/>
    </row>
    <row r="1310" spans="2:10" ht="15">
      <c r="B1310" s="274"/>
      <c r="C1310" s="250" t="s">
        <v>2463</v>
      </c>
      <c r="D1310" s="250"/>
      <c r="E1310" s="258">
        <v>600</v>
      </c>
      <c r="F1310" s="298"/>
      <c r="G1310" s="291"/>
      <c r="H1310" s="152"/>
      <c r="I1310" s="152"/>
      <c r="J1310" s="152"/>
    </row>
    <row r="1311" spans="2:10" ht="15">
      <c r="B1311" s="274"/>
      <c r="C1311" s="250" t="s">
        <v>2464</v>
      </c>
      <c r="E1311" s="151">
        <v>815</v>
      </c>
      <c r="F1311" s="298"/>
      <c r="G1311" s="291"/>
      <c r="H1311" s="152"/>
      <c r="I1311" s="152"/>
      <c r="J1311" s="152"/>
    </row>
    <row r="1312" spans="2:10" ht="15">
      <c r="B1312" s="274"/>
      <c r="C1312" s="250" t="s">
        <v>2465</v>
      </c>
      <c r="E1312" s="152">
        <v>20000</v>
      </c>
      <c r="F1312" s="298"/>
      <c r="G1312" s="291"/>
      <c r="H1312" s="152"/>
      <c r="I1312" s="152"/>
      <c r="J1312" s="152"/>
    </row>
    <row r="1313" spans="1:17" ht="15">
      <c r="B1313" s="274"/>
      <c r="C1313" s="250" t="s">
        <v>2466</v>
      </c>
      <c r="E1313" s="152">
        <v>100</v>
      </c>
      <c r="F1313" s="298"/>
      <c r="G1313" s="291"/>
      <c r="H1313" s="152"/>
      <c r="I1313" s="152"/>
      <c r="J1313" s="152"/>
    </row>
    <row r="1314" spans="1:17" ht="15">
      <c r="B1314" s="274"/>
      <c r="C1314" s="250" t="s">
        <v>2467</v>
      </c>
      <c r="E1314" s="152">
        <v>208.12</v>
      </c>
      <c r="F1314" s="298"/>
      <c r="G1314" s="291"/>
      <c r="H1314" s="152"/>
      <c r="I1314" s="152"/>
      <c r="J1314" s="152"/>
    </row>
    <row r="1315" spans="1:17" ht="15">
      <c r="B1315" s="274"/>
      <c r="C1315" s="250" t="s">
        <v>2468</v>
      </c>
      <c r="D1315" s="250"/>
      <c r="E1315" s="258">
        <v>425</v>
      </c>
      <c r="F1315" s="298"/>
      <c r="G1315" s="291"/>
      <c r="H1315" s="152"/>
      <c r="I1315" s="152"/>
      <c r="J1315" s="152"/>
    </row>
    <row r="1316" spans="1:17" ht="15">
      <c r="B1316" s="274"/>
      <c r="C1316" s="250" t="s">
        <v>2469</v>
      </c>
      <c r="E1316" s="152">
        <v>1580</v>
      </c>
      <c r="F1316" s="298"/>
      <c r="G1316" s="291"/>
      <c r="H1316" s="152"/>
      <c r="I1316" s="152"/>
      <c r="J1316" s="152"/>
    </row>
    <row r="1317" spans="1:17" ht="15">
      <c r="B1317" s="274"/>
      <c r="C1317" s="250" t="s">
        <v>2470</v>
      </c>
      <c r="D1317" s="250"/>
      <c r="E1317" s="258">
        <v>200</v>
      </c>
      <c r="F1317" s="298"/>
      <c r="G1317" s="291"/>
      <c r="H1317" s="152"/>
      <c r="I1317" s="152"/>
      <c r="J1317" s="152"/>
    </row>
    <row r="1318" spans="1:17" ht="15">
      <c r="B1318" s="274"/>
      <c r="C1318" s="250" t="s">
        <v>1655</v>
      </c>
      <c r="D1318" s="250"/>
      <c r="E1318" s="258">
        <v>4000</v>
      </c>
      <c r="F1318" s="298"/>
      <c r="G1318" s="291">
        <v>17000</v>
      </c>
      <c r="H1318" s="152"/>
      <c r="I1318" s="152"/>
      <c r="J1318" s="152"/>
    </row>
    <row r="1319" spans="1:17" ht="15">
      <c r="B1319" s="274"/>
      <c r="C1319" s="250" t="s">
        <v>2471</v>
      </c>
      <c r="D1319" s="152"/>
      <c r="E1319" s="229">
        <f>9300+27000+10000-17000-20000</f>
        <v>9300</v>
      </c>
      <c r="F1319" s="298"/>
      <c r="G1319" s="291"/>
      <c r="H1319" s="152"/>
      <c r="I1319" s="152"/>
      <c r="J1319" s="152"/>
    </row>
    <row r="1320" spans="1:17" ht="15" hidden="1">
      <c r="B1320" s="274"/>
      <c r="C1320" s="250" t="s">
        <v>393</v>
      </c>
      <c r="E1320" s="152">
        <f>2200-2200</f>
        <v>0</v>
      </c>
      <c r="F1320" s="298"/>
      <c r="G1320" s="291"/>
      <c r="H1320" s="152"/>
      <c r="I1320" s="152"/>
      <c r="J1320" s="152"/>
    </row>
    <row r="1321" spans="1:17" ht="15.75" thickBot="1">
      <c r="B1321" s="274"/>
      <c r="C1321" s="247" t="s">
        <v>2229</v>
      </c>
      <c r="E1321" s="330">
        <f>SUM(E1070:E1319)</f>
        <v>1450338.36</v>
      </c>
      <c r="F1321" s="249">
        <f>+E1321-TB!J186</f>
        <v>1401838.36</v>
      </c>
      <c r="G1321" s="291"/>
      <c r="H1321" s="152"/>
      <c r="I1321" s="152"/>
      <c r="J1321" s="152"/>
    </row>
    <row r="1322" spans="1:17" ht="15.75" thickTop="1">
      <c r="B1322" s="274"/>
      <c r="E1322" s="151"/>
      <c r="F1322" s="298"/>
      <c r="G1322" s="291"/>
      <c r="H1322" s="152"/>
      <c r="I1322" s="152"/>
      <c r="J1322" s="152"/>
    </row>
    <row r="1323" spans="1:17" ht="15">
      <c r="A1323" s="239" t="s">
        <v>2472</v>
      </c>
      <c r="B1323" s="239"/>
      <c r="C1323" s="239"/>
      <c r="D1323" s="250"/>
      <c r="E1323" s="240"/>
      <c r="F1323" s="301"/>
      <c r="H1323" s="152"/>
      <c r="I1323" s="152"/>
      <c r="J1323" s="152"/>
    </row>
    <row r="1324" spans="1:17" ht="15">
      <c r="A1324" s="239"/>
      <c r="B1324" s="239"/>
      <c r="C1324" s="242" t="s">
        <v>2473</v>
      </c>
      <c r="D1324" s="250"/>
      <c r="E1324" s="240">
        <f>5500</f>
        <v>5500</v>
      </c>
      <c r="F1324" s="301"/>
      <c r="H1324" s="152"/>
      <c r="I1324" s="152"/>
      <c r="J1324" s="152"/>
    </row>
    <row r="1325" spans="1:17" ht="15">
      <c r="A1325" s="239"/>
      <c r="B1325" s="239"/>
      <c r="C1325" s="242" t="s">
        <v>2474</v>
      </c>
      <c r="D1325" s="250"/>
      <c r="E1325" s="240">
        <f>110-110+220+220+220-740+820-550+550+300+300+300+300+300</f>
        <v>2240</v>
      </c>
      <c r="F1325" s="301"/>
      <c r="H1325" s="152">
        <f>E1318-G1318</f>
        <v>-13000</v>
      </c>
      <c r="I1325" s="152"/>
      <c r="J1325" s="152"/>
    </row>
    <row r="1326" spans="1:17" ht="15">
      <c r="A1326" s="274"/>
      <c r="B1326" s="239"/>
      <c r="C1326" s="243" t="s">
        <v>2475</v>
      </c>
      <c r="D1326" s="243"/>
      <c r="E1326" s="244">
        <f>2000</f>
        <v>2000</v>
      </c>
      <c r="F1326" s="240"/>
      <c r="H1326" s="152"/>
      <c r="I1326" s="152"/>
      <c r="J1326" s="152"/>
    </row>
    <row r="1327" spans="1:17" ht="15">
      <c r="A1327" s="274"/>
      <c r="B1327" s="239"/>
      <c r="C1327" s="250" t="s">
        <v>2476</v>
      </c>
      <c r="D1327" s="250"/>
      <c r="E1327" s="240">
        <v>1606.78</v>
      </c>
      <c r="F1327" s="240"/>
      <c r="H1327" s="152"/>
      <c r="I1327" s="152"/>
      <c r="J1327" s="152"/>
    </row>
    <row r="1328" spans="1:17" ht="15">
      <c r="A1328" s="274"/>
      <c r="B1328" s="239"/>
      <c r="C1328" s="243" t="s">
        <v>2477</v>
      </c>
      <c r="D1328" s="243"/>
      <c r="E1328" s="240">
        <f>394043.28+42542.75+150+49004.45+19230.06+150+17536.33+9334.36+32906.85+17172.98+13081.8+12856.17+5778.05+15480.13+11064.55+23085.21+27484.99+57726.03+14243.92+28831.04+26674.04+30278.49+23761.47+21427.08+16778.52+150-150+7584.64+150+75910.17-150+150+108273.48-150-150+150</f>
        <v>1102390.8400000003</v>
      </c>
      <c r="F1328" s="251"/>
      <c r="K1328" s="151"/>
      <c r="L1328" s="256"/>
      <c r="M1328" s="152"/>
      <c r="N1328" s="152"/>
      <c r="P1328" s="152"/>
      <c r="Q1328" s="256"/>
    </row>
    <row r="1329" spans="1:18" ht="15">
      <c r="A1329" s="274"/>
      <c r="B1329" s="239"/>
      <c r="C1329" s="243" t="s">
        <v>2478</v>
      </c>
      <c r="D1329" s="243"/>
      <c r="E1329" s="240">
        <v>250000</v>
      </c>
      <c r="F1329" s="251"/>
      <c r="K1329" s="151"/>
      <c r="L1329" s="256"/>
      <c r="M1329" s="152"/>
      <c r="N1329" s="152"/>
      <c r="P1329" s="152"/>
      <c r="Q1329" s="256"/>
    </row>
    <row r="1330" spans="1:18" ht="15">
      <c r="A1330" s="274"/>
      <c r="B1330" s="239"/>
      <c r="C1330" s="243" t="s">
        <v>2479</v>
      </c>
      <c r="D1330" s="243"/>
      <c r="E1330" s="244">
        <f>198473.12-103000+134000+110000+56000+50000-142800-22500+22000-21741-3510+100000-127170+100000+58000-2000+56000-13845.5-45000+4000+50000+2000-136625-26997-26250-34500-56850-2430</f>
        <v>175254.62</v>
      </c>
      <c r="F1330" s="251"/>
      <c r="K1330" s="151"/>
      <c r="L1330" s="340"/>
      <c r="M1330" s="152"/>
      <c r="P1330" s="152"/>
      <c r="Q1330" s="340"/>
    </row>
    <row r="1331" spans="1:18" ht="15" hidden="1">
      <c r="A1331" s="274"/>
      <c r="B1331" s="239"/>
      <c r="C1331" s="243" t="s">
        <v>2480</v>
      </c>
      <c r="D1331" s="243"/>
      <c r="E1331" s="244">
        <f>30000+30000-2115.68-57884.32</f>
        <v>0</v>
      </c>
      <c r="F1331" s="251"/>
      <c r="K1331" s="151"/>
      <c r="L1331" s="340"/>
      <c r="M1331" s="152"/>
      <c r="P1331" s="152"/>
      <c r="Q1331" s="340"/>
    </row>
    <row r="1332" spans="1:18" ht="15">
      <c r="A1332" s="274"/>
      <c r="B1332" s="239"/>
      <c r="C1332" s="243" t="s">
        <v>2481</v>
      </c>
      <c r="D1332" s="243"/>
      <c r="E1332" s="251">
        <f>6453.27</f>
        <v>6453.27</v>
      </c>
      <c r="F1332" s="251"/>
      <c r="K1332" s="151"/>
      <c r="L1332" s="340"/>
      <c r="P1332" s="152"/>
      <c r="Q1332" s="340"/>
    </row>
    <row r="1333" spans="1:18" ht="15" hidden="1">
      <c r="A1333" s="274"/>
      <c r="B1333" s="239"/>
      <c r="C1333" s="243" t="s">
        <v>2482</v>
      </c>
      <c r="D1333" s="243"/>
      <c r="E1333" s="251">
        <f>2000-2000</f>
        <v>0</v>
      </c>
      <c r="F1333" s="251"/>
      <c r="K1333" s="151"/>
      <c r="L1333" s="340"/>
      <c r="P1333" s="152"/>
      <c r="Q1333" s="340"/>
    </row>
    <row r="1334" spans="1:18" ht="15">
      <c r="A1334" s="274"/>
      <c r="B1334" s="239"/>
      <c r="C1334" s="243" t="s">
        <v>2483</v>
      </c>
      <c r="D1334" s="243"/>
      <c r="E1334" s="251">
        <f>1350+11100</f>
        <v>12450</v>
      </c>
      <c r="F1334" s="251"/>
      <c r="K1334" s="151"/>
      <c r="L1334" s="340"/>
      <c r="P1334" s="152"/>
      <c r="Q1334" s="340"/>
    </row>
    <row r="1335" spans="1:18" ht="15">
      <c r="A1335" s="274"/>
      <c r="B1335" s="239"/>
      <c r="C1335" s="243" t="s">
        <v>2484</v>
      </c>
      <c r="D1335" s="243"/>
      <c r="E1335" s="240">
        <f>1807984.69+243699.1-12142.2-219780.5-10500+264283.3-2970+127463.4+157373.35-218850.67+359536.32-38520+144358.25-74271.16+187274.9-148690.45+175053.5-25581.65+242360.15+413743.3-22540-1842219.28+331644.74-280997.8-113920.46+293631.9+0.1-775.5-89000-416314.76+233326.4-259643+167561.75-83468.5+181665.5-57352.4+373516.9-211722-9000-20000+206817.5-49981.64+352990.45-69100-104634.94+297797.5-247956.06+314076.2+219965-297125.55+202826.75-4976.15-59985.86-29400-29400-29400-77993.65-49961.7-64967.82-29400-31280-294598+250916.75-74941.42+151741-107605-84640-20000-35420-35650-29400-59999.26+194604-95662.5-61640</f>
        <v>1662832.8200000005</v>
      </c>
      <c r="F1335" s="251"/>
      <c r="H1335" s="151"/>
      <c r="I1335" s="151"/>
      <c r="J1335" s="248"/>
      <c r="K1335" s="151"/>
      <c r="L1335" s="340"/>
      <c r="P1335" s="152"/>
      <c r="Q1335" s="340"/>
    </row>
    <row r="1336" spans="1:18" ht="15">
      <c r="A1336" s="274"/>
      <c r="B1336" s="239"/>
      <c r="C1336" s="243" t="s">
        <v>1075</v>
      </c>
      <c r="D1336" s="243"/>
      <c r="E1336" s="240">
        <f>13409+31606+23210</f>
        <v>68225</v>
      </c>
      <c r="F1336" s="251"/>
      <c r="H1336" s="151"/>
      <c r="I1336" s="151"/>
      <c r="J1336" s="248"/>
      <c r="K1336" s="151"/>
      <c r="L1336" s="340"/>
      <c r="P1336" s="152"/>
      <c r="Q1336" s="340"/>
    </row>
    <row r="1337" spans="1:18" ht="15">
      <c r="A1337" s="274"/>
      <c r="B1337" s="239"/>
      <c r="C1337" s="243" t="s">
        <v>2485</v>
      </c>
      <c r="D1337" s="243"/>
      <c r="E1337" s="240">
        <f>10000</f>
        <v>10000</v>
      </c>
      <c r="F1337" s="251"/>
      <c r="G1337" s="152">
        <v>6485327.7599999998</v>
      </c>
      <c r="H1337" s="151"/>
      <c r="I1337" s="151"/>
      <c r="J1337" s="248"/>
      <c r="K1337" s="151"/>
      <c r="L1337" s="340"/>
      <c r="P1337" s="152"/>
      <c r="Q1337" s="340"/>
    </row>
    <row r="1338" spans="1:18" ht="15">
      <c r="A1338" s="274"/>
      <c r="B1338" s="239"/>
      <c r="C1338" s="243" t="s">
        <v>2486</v>
      </c>
      <c r="D1338" s="243"/>
      <c r="E1338" s="240">
        <v>15000</v>
      </c>
      <c r="F1338" s="251"/>
      <c r="G1338" s="152"/>
      <c r="H1338" s="151"/>
      <c r="I1338" s="151"/>
      <c r="J1338" s="248"/>
      <c r="K1338" s="151"/>
      <c r="L1338" s="340"/>
      <c r="P1338" s="152"/>
      <c r="Q1338" s="340"/>
    </row>
    <row r="1339" spans="1:18" ht="15">
      <c r="A1339" s="274"/>
      <c r="B1339" s="239"/>
      <c r="C1339" s="243" t="s">
        <v>1249</v>
      </c>
      <c r="D1339" s="243"/>
      <c r="E1339" s="240">
        <v>25000</v>
      </c>
      <c r="F1339" s="251"/>
      <c r="G1339" s="152"/>
      <c r="H1339" s="151"/>
      <c r="I1339" s="151"/>
      <c r="J1339" s="248"/>
      <c r="K1339" s="151"/>
      <c r="L1339" s="340"/>
      <c r="P1339" s="152"/>
      <c r="Q1339" s="340"/>
    </row>
    <row r="1340" spans="1:18" ht="15">
      <c r="A1340" s="274"/>
      <c r="B1340" s="239"/>
      <c r="C1340" s="243" t="s">
        <v>1074</v>
      </c>
      <c r="D1340" s="243"/>
      <c r="E1340" s="240">
        <v>10000</v>
      </c>
      <c r="F1340" s="251"/>
      <c r="G1340" s="152"/>
      <c r="H1340" s="151"/>
      <c r="I1340" s="151"/>
      <c r="J1340" s="248"/>
      <c r="K1340" s="151"/>
      <c r="L1340" s="340"/>
      <c r="P1340" s="152"/>
      <c r="Q1340" s="340"/>
    </row>
    <row r="1341" spans="1:18" ht="15">
      <c r="A1341" s="274"/>
      <c r="B1341" s="239"/>
      <c r="C1341" s="243" t="s">
        <v>2487</v>
      </c>
      <c r="D1341" s="243"/>
      <c r="E1341" s="244">
        <f>71918.19</f>
        <v>71918.19</v>
      </c>
      <c r="F1341" s="251"/>
      <c r="G1341" s="249"/>
      <c r="H1341" s="151"/>
      <c r="I1341" s="151"/>
      <c r="J1341" s="248"/>
      <c r="K1341" s="246"/>
      <c r="L1341" s="340"/>
      <c r="P1341" s="246"/>
    </row>
    <row r="1342" spans="1:18" ht="15">
      <c r="A1342" s="274"/>
      <c r="B1342" s="239"/>
      <c r="C1342" s="243" t="s">
        <v>2488</v>
      </c>
      <c r="D1342" s="243"/>
      <c r="E1342" s="244">
        <v>100000</v>
      </c>
      <c r="F1342" s="251"/>
      <c r="H1342" s="151"/>
      <c r="I1342" s="248"/>
      <c r="J1342" s="248"/>
      <c r="L1342" s="340"/>
      <c r="R1342" s="249">
        <f>SUM(P1328:P1342)</f>
        <v>0</v>
      </c>
    </row>
    <row r="1343" spans="1:18" ht="15">
      <c r="A1343" s="274"/>
      <c r="B1343" s="239"/>
      <c r="C1343" s="243" t="s">
        <v>943</v>
      </c>
      <c r="D1343" s="243"/>
      <c r="E1343" s="244">
        <f>1500+500+500+1000+1500+500+500+2000+1000+6500</f>
        <v>15500</v>
      </c>
      <c r="F1343" s="341" t="s">
        <v>527</v>
      </c>
      <c r="H1343" s="151"/>
      <c r="I1343" s="248"/>
      <c r="J1343" s="248"/>
      <c r="L1343" s="340"/>
      <c r="R1343" s="249"/>
    </row>
    <row r="1344" spans="1:18" ht="15">
      <c r="A1344" s="274"/>
      <c r="B1344" s="239"/>
      <c r="C1344" s="243" t="s">
        <v>2489</v>
      </c>
      <c r="D1344" s="243"/>
      <c r="E1344" s="244">
        <f>22000+6000+23800+2812.5+1700+2500-8040-28800-14325+12066.85</f>
        <v>19714.349999999999</v>
      </c>
      <c r="F1344" s="251"/>
      <c r="H1344" s="151"/>
      <c r="I1344" s="248"/>
      <c r="J1344" s="248"/>
      <c r="L1344" s="340"/>
      <c r="R1344" s="249"/>
    </row>
    <row r="1345" spans="1:256" ht="15">
      <c r="A1345" s="274"/>
      <c r="B1345" s="239"/>
      <c r="C1345" s="243" t="s">
        <v>1656</v>
      </c>
      <c r="D1345" s="243"/>
      <c r="E1345" s="244">
        <v>75000</v>
      </c>
      <c r="F1345" s="251"/>
      <c r="H1345" s="151"/>
      <c r="I1345" s="248"/>
      <c r="J1345" s="248"/>
      <c r="L1345" s="340"/>
      <c r="R1345" s="249"/>
    </row>
    <row r="1346" spans="1:256" ht="15">
      <c r="A1346" s="274"/>
      <c r="B1346" s="239"/>
      <c r="C1346" s="243" t="s">
        <v>825</v>
      </c>
      <c r="D1346" s="243"/>
      <c r="E1346" s="244">
        <v>320</v>
      </c>
      <c r="F1346" s="251"/>
      <c r="G1346" s="234">
        <f>622.43+1619.37</f>
        <v>2241.7999999999997</v>
      </c>
      <c r="H1346" s="151"/>
      <c r="I1346" s="248"/>
      <c r="J1346" s="248"/>
      <c r="L1346" s="340"/>
      <c r="R1346" s="249"/>
    </row>
    <row r="1347" spans="1:256" ht="15">
      <c r="A1347" s="274"/>
      <c r="B1347" s="239"/>
      <c r="C1347" s="243" t="s">
        <v>2329</v>
      </c>
      <c r="D1347" s="243"/>
      <c r="E1347" s="244">
        <f>232394.1+4225-763.99+1590-676.4+2535-2590.17-468.02+11290+8680-717.98+795-941.84-880.95-904.16+1885-437.3+1915-3842.72-1911.02+3020-2241.8+1425+2015-1154.64+4285-1368.56+1450-3291.5+800-2136.93+1460-3851.07+2075+510-3061.4+1055-3024+2370+475-5610.84</f>
        <v>246373.81000000003</v>
      </c>
      <c r="F1347" s="251"/>
      <c r="G1347" s="249"/>
      <c r="H1347" s="151"/>
      <c r="I1347" s="248"/>
      <c r="J1347" s="248"/>
    </row>
    <row r="1348" spans="1:256" ht="15">
      <c r="A1348" s="274"/>
      <c r="B1348" s="239"/>
      <c r="C1348" s="243" t="s">
        <v>847</v>
      </c>
      <c r="D1348" s="243"/>
      <c r="E1348" s="240">
        <f>87000-54300-8000+9000</f>
        <v>33700</v>
      </c>
      <c r="F1348" s="251"/>
      <c r="G1348" s="249"/>
      <c r="H1348" s="151"/>
      <c r="I1348" s="248"/>
      <c r="J1348" s="248"/>
    </row>
    <row r="1349" spans="1:256" ht="15">
      <c r="A1349" s="274"/>
      <c r="B1349" s="239"/>
      <c r="C1349" s="243" t="s">
        <v>2490</v>
      </c>
      <c r="D1349" s="243"/>
      <c r="E1349" s="244">
        <f>450+2475-2340+2895-165+3090+2895+1575-6660+480-1575</f>
        <v>3120</v>
      </c>
      <c r="F1349" s="240"/>
      <c r="H1349" s="248"/>
      <c r="I1349" s="248"/>
      <c r="J1349" s="248"/>
    </row>
    <row r="1350" spans="1:256" ht="15">
      <c r="A1350" s="274"/>
      <c r="B1350" s="239"/>
      <c r="C1350" s="243" t="s">
        <v>2491</v>
      </c>
      <c r="D1350" s="243"/>
      <c r="E1350" s="240">
        <f>6100</f>
        <v>6100</v>
      </c>
      <c r="F1350" s="240"/>
      <c r="H1350" s="248"/>
      <c r="I1350" s="248"/>
      <c r="J1350" s="248"/>
    </row>
    <row r="1351" spans="1:256" ht="15">
      <c r="A1351" s="274"/>
      <c r="B1351" s="239"/>
      <c r="C1351" s="243" t="s">
        <v>2494</v>
      </c>
      <c r="D1351" s="243"/>
      <c r="E1351" s="240">
        <f>1777205.26+436006.35+0.6-706580.5+402490.8-401491+554097.25-33600-536830.6+507112.91-27500+30643.8+551238.5-391695+457251.15-631924.25+543684.6-710046.9-27500+449973.71-681348.5+467069.1-477019+636526.81-830416.5+447917.75-431736.1+342120.79-332150-24990-27500+728665.84-245280+446097.29-1000172.98+357646.52-217780-27500+243038-917324+273854.6-157297+360821.15-205727.4-27500+552127.35-702390.75-42500+403774.25-279185.25+483487.4+318830.86-7700+344922.55+625585.7-1800-27500-27500+361574.55-529373</f>
        <v>2414906.71</v>
      </c>
      <c r="F1351" s="240"/>
      <c r="H1351" s="248"/>
      <c r="I1351" s="248"/>
      <c r="J1351" s="248"/>
    </row>
    <row r="1352" spans="1:256" ht="15">
      <c r="A1352" s="274"/>
      <c r="B1352" s="239"/>
      <c r="C1352" s="243" t="s">
        <v>2495</v>
      </c>
      <c r="D1352" s="243"/>
      <c r="E1352" s="240">
        <f>4065099.52+963423.25-920924.95+922711.86-698729+1658941.6-137791.25+1399956.31+1076013.86-1571380.69+1209922.36-266125.75+1349594.88-640402.7-74993.16+1061442.43-853492.45+1103125.81-549129.18-6500+1539277.53-1375092.65+1248687-1533259.96+983986.49-509914-5398455.22-19980.25+1902921.03+591742-1026239.83+1101808.93-1023459.65+867896.65-616485+824262.55-1139250.7+3039.5+955997.6-93500+1073501.4+1505552.71-880305.4+998890.25-306207.5+1178892.38-342005.75+1286959.27-111793.75+1027679.9-704.9+1064626.76-364760.64-5041872.28+1188995.57-2391688.75</f>
        <v>6260504.040000001</v>
      </c>
      <c r="F1352" s="240"/>
      <c r="H1352" s="248"/>
      <c r="I1352" s="248"/>
      <c r="J1352" s="248"/>
    </row>
    <row r="1353" spans="1:256" ht="15">
      <c r="A1353" s="274"/>
      <c r="B1353" s="239"/>
      <c r="C1353" s="243" t="s">
        <v>2492</v>
      </c>
      <c r="D1353" s="243"/>
      <c r="E1353" s="240">
        <f>281397.8-187560+41700+21820+1535+11700-14960.25+10270+1560+32120+340+19400+2760+18420+26520+23180+6100+1020-8310+16400+35160+7530+5760-41600</f>
        <v>312262.55</v>
      </c>
      <c r="F1353" s="240"/>
    </row>
    <row r="1354" spans="1:256" ht="15">
      <c r="A1354" s="274"/>
      <c r="B1354" s="239"/>
      <c r="C1354" s="243" t="s">
        <v>2493</v>
      </c>
      <c r="D1354" s="243"/>
      <c r="E1354" s="240">
        <f>504792.17+27400-35235.86+39100+240160-2954-14973+54600-25000+25500-14977.6+46800-14977.6+52000-33500+43100-310849.9+34200+190000-328731.15+640142+148750-162294.85+72300-591742-14982.24+63815-15015+47500+57700-34962.6+49200-257400+260600-205147.35+150700-114950+106100-30020.5+38150+39600-567720.5+151500+75900-75000+63150</f>
        <v>372325.02</v>
      </c>
      <c r="F1354" s="240"/>
      <c r="I1354" s="152"/>
      <c r="J1354" s="255"/>
    </row>
    <row r="1355" spans="1:256" ht="15">
      <c r="A1355" s="274"/>
      <c r="B1355" s="239"/>
      <c r="C1355" s="243" t="s">
        <v>2496</v>
      </c>
      <c r="D1355" s="243"/>
      <c r="E1355" s="244">
        <f>67804.4-14274-39627+69104-20815-913-20815-12365-9355+159459.3-23700+26040-816.48-42414-14274+52430-55250-4083.52-14274</f>
        <v>101861.69999999997</v>
      </c>
      <c r="F1355" s="251"/>
      <c r="IV1355" s="234">
        <v>0</v>
      </c>
    </row>
    <row r="1356" spans="1:256" ht="15">
      <c r="A1356" s="274"/>
      <c r="B1356" s="239"/>
      <c r="C1356" s="243" t="s">
        <v>368</v>
      </c>
      <c r="D1356" s="243"/>
      <c r="E1356" s="240">
        <f>5239+7312+6242</f>
        <v>18793</v>
      </c>
      <c r="F1356" s="240"/>
      <c r="I1356" s="152"/>
      <c r="J1356" s="255"/>
    </row>
    <row r="1357" spans="1:256" ht="15">
      <c r="A1357" s="274"/>
      <c r="B1357" s="239"/>
      <c r="C1357" s="243" t="s">
        <v>366</v>
      </c>
      <c r="D1357" s="243"/>
      <c r="E1357" s="240">
        <f>364572.2+105848.05+10877.95+28677.65+17843.25+329808.8-224520</f>
        <v>633107.90000000014</v>
      </c>
      <c r="F1357" s="240"/>
      <c r="I1357" s="152"/>
      <c r="J1357" s="255"/>
    </row>
    <row r="1358" spans="1:256" ht="15">
      <c r="A1358" s="274"/>
      <c r="B1358" s="239"/>
      <c r="C1358" s="243" t="s">
        <v>367</v>
      </c>
      <c r="D1358" s="243"/>
      <c r="E1358" s="240">
        <f>10336+7553.5+7141+5825.5+5145</f>
        <v>36001</v>
      </c>
      <c r="F1358" s="240"/>
      <c r="G1358" s="249"/>
      <c r="I1358" s="152"/>
      <c r="J1358" s="255"/>
    </row>
    <row r="1359" spans="1:256" ht="15">
      <c r="A1359" s="274"/>
      <c r="B1359" s="239"/>
      <c r="C1359" s="243" t="s">
        <v>1885</v>
      </c>
      <c r="D1359" s="243"/>
      <c r="E1359" s="240">
        <f>7879.15+15323.35+3373.5</f>
        <v>26576</v>
      </c>
      <c r="F1359" s="240"/>
      <c r="G1359" s="249"/>
      <c r="I1359" s="152"/>
      <c r="J1359" s="255"/>
    </row>
    <row r="1360" spans="1:256" ht="15">
      <c r="A1360" s="274"/>
      <c r="B1360" s="239"/>
      <c r="C1360" s="243" t="s">
        <v>827</v>
      </c>
      <c r="D1360" s="250"/>
      <c r="E1360" s="240">
        <f>586178.77+53864.6-244348+16111+52533-47000+36735+35756+15270+62380+31265-33000+20455-106350+26191+58519+51475+10693-85800+89471+20775.35+53579.5+18427-102900+6403+70092.5+18650.5+1205+33680+29785-46220+27200+13685+28165</f>
        <v>802927.22</v>
      </c>
      <c r="F1360" s="240"/>
      <c r="G1360" s="152">
        <v>10776</v>
      </c>
    </row>
    <row r="1361" spans="1:29" ht="15">
      <c r="A1361" s="274"/>
      <c r="B1361" s="239"/>
      <c r="C1361" s="243" t="s">
        <v>2497</v>
      </c>
      <c r="D1361" s="250"/>
      <c r="E1361" s="240">
        <f>17376.69</f>
        <v>17376.689999999999</v>
      </c>
      <c r="F1361" s="251"/>
      <c r="G1361" s="304">
        <f>E1360-G1360</f>
        <v>792151.22</v>
      </c>
      <c r="K1361" s="255" t="s">
        <v>2498</v>
      </c>
    </row>
    <row r="1362" spans="1:29" ht="15">
      <c r="A1362" s="274"/>
      <c r="B1362" s="239"/>
      <c r="C1362" s="243" t="s">
        <v>2499</v>
      </c>
      <c r="D1362" s="243"/>
      <c r="E1362" s="244">
        <f>22042.83</f>
        <v>22042.83</v>
      </c>
      <c r="F1362" s="240"/>
      <c r="H1362" s="234" t="s">
        <v>2500</v>
      </c>
      <c r="K1362" s="256"/>
      <c r="AC1362" s="152"/>
    </row>
    <row r="1363" spans="1:29" ht="15">
      <c r="A1363" s="274"/>
      <c r="B1363" s="239"/>
      <c r="C1363" s="243" t="s">
        <v>1886</v>
      </c>
      <c r="D1363" s="243"/>
      <c r="E1363" s="244">
        <f>11500-3000+17668+8334+18334</f>
        <v>52836</v>
      </c>
      <c r="F1363" s="240"/>
      <c r="K1363" s="256"/>
      <c r="AC1363" s="152"/>
    </row>
    <row r="1364" spans="1:29" ht="15">
      <c r="A1364" s="274"/>
      <c r="B1364" s="239"/>
      <c r="C1364" s="243" t="s">
        <v>2022</v>
      </c>
      <c r="D1364" s="243"/>
      <c r="E1364" s="244">
        <f>14000</f>
        <v>14000</v>
      </c>
      <c r="F1364" s="240"/>
      <c r="K1364" s="256"/>
      <c r="AC1364" s="152"/>
    </row>
    <row r="1365" spans="1:29" ht="15">
      <c r="A1365" s="274"/>
      <c r="B1365" s="239"/>
      <c r="C1365" s="243" t="s">
        <v>2501</v>
      </c>
      <c r="D1365" s="243"/>
      <c r="E1365" s="244">
        <f>8500</f>
        <v>8500</v>
      </c>
      <c r="F1365" s="240"/>
      <c r="K1365" s="256"/>
      <c r="AC1365" s="152"/>
    </row>
    <row r="1366" spans="1:29" ht="15">
      <c r="A1366" s="274"/>
      <c r="B1366" s="239"/>
      <c r="C1366" s="243" t="s">
        <v>2502</v>
      </c>
      <c r="D1366" s="243"/>
      <c r="E1366" s="244">
        <f>240100+10000+40000+83700+20000+25000-10000-10000-16380</f>
        <v>382420</v>
      </c>
      <c r="F1366" s="240"/>
      <c r="I1366" s="152"/>
      <c r="J1366" s="256"/>
      <c r="AC1366" s="152"/>
    </row>
    <row r="1367" spans="1:29" ht="15">
      <c r="A1367" s="274"/>
      <c r="B1367" s="239"/>
      <c r="C1367" s="243" t="s">
        <v>826</v>
      </c>
      <c r="D1367" s="243"/>
      <c r="E1367" s="244">
        <v>500</v>
      </c>
      <c r="F1367" s="240"/>
      <c r="I1367" s="152"/>
      <c r="J1367" s="256"/>
      <c r="AC1367" s="152"/>
    </row>
    <row r="1368" spans="1:29" ht="15">
      <c r="A1368" s="274"/>
      <c r="B1368" s="239"/>
      <c r="C1368" s="243" t="s">
        <v>2503</v>
      </c>
      <c r="D1368" s="243"/>
      <c r="E1368" s="244">
        <f>50+250+300</f>
        <v>600</v>
      </c>
      <c r="F1368" s="240"/>
      <c r="I1368" s="152"/>
      <c r="J1368" s="256"/>
      <c r="AC1368" s="152"/>
    </row>
    <row r="1369" spans="1:29" ht="15">
      <c r="A1369" s="274"/>
      <c r="B1369" s="239"/>
      <c r="C1369" s="243" t="s">
        <v>2504</v>
      </c>
      <c r="D1369" s="243"/>
      <c r="E1369" s="244">
        <f>861992.5+308266.5-13470-1500-19971.36-300000+1050-144400-30348.5</f>
        <v>661619.1399999999</v>
      </c>
      <c r="F1369" s="240"/>
      <c r="G1369" s="234" t="s">
        <v>2505</v>
      </c>
      <c r="I1369" s="152">
        <v>300000</v>
      </c>
      <c r="J1369" s="255" t="s">
        <v>2506</v>
      </c>
      <c r="AC1369" s="152"/>
    </row>
    <row r="1370" spans="1:29" ht="15">
      <c r="A1370" s="274"/>
      <c r="B1370" s="239"/>
      <c r="C1370" s="243" t="s">
        <v>2507</v>
      </c>
      <c r="D1370" s="243"/>
      <c r="E1370" s="244">
        <f>3500</f>
        <v>3500</v>
      </c>
      <c r="F1370" s="240"/>
      <c r="J1370" s="152"/>
      <c r="AC1370" s="152">
        <v>110</v>
      </c>
    </row>
    <row r="1371" spans="1:29" ht="15">
      <c r="A1371" s="274"/>
      <c r="B1371" s="239"/>
      <c r="C1371" s="243" t="s">
        <v>1309</v>
      </c>
      <c r="D1371" s="243"/>
      <c r="E1371" s="244">
        <v>1250</v>
      </c>
      <c r="F1371" s="240"/>
      <c r="J1371" s="152"/>
      <c r="AC1371" s="152"/>
    </row>
    <row r="1372" spans="1:29" ht="15">
      <c r="A1372" s="274"/>
      <c r="B1372" s="239"/>
      <c r="C1372" s="243" t="s">
        <v>2509</v>
      </c>
      <c r="D1372" s="243"/>
      <c r="E1372" s="244">
        <f>48882.01</f>
        <v>48882.01</v>
      </c>
      <c r="F1372" s="240"/>
      <c r="J1372" s="152"/>
      <c r="K1372" s="255"/>
      <c r="AC1372" s="152">
        <v>1435.95</v>
      </c>
    </row>
    <row r="1373" spans="1:29" ht="15">
      <c r="A1373" s="274"/>
      <c r="B1373" s="239"/>
      <c r="C1373" s="243" t="s">
        <v>2508</v>
      </c>
      <c r="D1373" s="243"/>
      <c r="E1373" s="244">
        <f>715+200+200+300+100+200+100+100+400+400+400+2000+100+100+100+100</f>
        <v>5515</v>
      </c>
      <c r="F1373" s="240"/>
      <c r="J1373" s="152"/>
      <c r="K1373" s="255"/>
      <c r="N1373" s="247" t="s">
        <v>2510</v>
      </c>
      <c r="AC1373" s="152">
        <v>2868</v>
      </c>
    </row>
    <row r="1374" spans="1:29" ht="15">
      <c r="A1374" s="274"/>
      <c r="B1374" s="239"/>
      <c r="C1374" s="243" t="s">
        <v>289</v>
      </c>
      <c r="D1374" s="243"/>
      <c r="E1374" s="244">
        <f>5000</f>
        <v>5000</v>
      </c>
      <c r="F1374" s="240"/>
      <c r="L1374" s="342">
        <v>150000</v>
      </c>
      <c r="AC1374" s="152">
        <v>5550.67</v>
      </c>
    </row>
    <row r="1375" spans="1:29" ht="15">
      <c r="A1375" s="274"/>
      <c r="B1375" s="239"/>
      <c r="C1375" s="243" t="s">
        <v>288</v>
      </c>
      <c r="D1375" s="243"/>
      <c r="E1375" s="244">
        <f>4914.53</f>
        <v>4914.53</v>
      </c>
      <c r="F1375" s="240"/>
      <c r="L1375" s="317"/>
      <c r="AC1375" s="152"/>
    </row>
    <row r="1376" spans="1:29" ht="15">
      <c r="A1376" s="274"/>
      <c r="B1376" s="239"/>
      <c r="C1376" s="243" t="s">
        <v>290</v>
      </c>
      <c r="D1376" s="243"/>
      <c r="E1376" s="244">
        <f>7200+15820+600+600+600</f>
        <v>24820</v>
      </c>
      <c r="F1376" s="240"/>
      <c r="L1376" s="317"/>
      <c r="AC1376" s="152"/>
    </row>
    <row r="1377" spans="1:29" ht="15">
      <c r="A1377" s="274"/>
      <c r="B1377" s="239"/>
      <c r="C1377" s="243" t="s">
        <v>291</v>
      </c>
      <c r="D1377" s="243"/>
      <c r="E1377" s="240">
        <f>130442.85+12340+715+5321+6080+3081+11803+3144+6261+1270+2571+1020+4700+5683+1720+2639+335-10000+715+5536+5936+850</f>
        <v>202162.85</v>
      </c>
      <c r="F1377" s="240"/>
      <c r="J1377" s="152"/>
      <c r="L1377" s="317"/>
      <c r="AC1377" s="152"/>
    </row>
    <row r="1378" spans="1:29" ht="15">
      <c r="A1378" s="274"/>
      <c r="B1378" s="239"/>
      <c r="C1378" s="243" t="s">
        <v>292</v>
      </c>
      <c r="D1378" s="243"/>
      <c r="E1378" s="244">
        <v>30000</v>
      </c>
      <c r="F1378" s="240"/>
      <c r="J1378" s="152"/>
      <c r="L1378" s="317"/>
      <c r="AC1378" s="152"/>
    </row>
    <row r="1379" spans="1:29" ht="15">
      <c r="A1379" s="274"/>
      <c r="B1379" s="239"/>
      <c r="C1379" s="243" t="s">
        <v>293</v>
      </c>
      <c r="D1379" s="243"/>
      <c r="E1379" s="244">
        <f>220000</f>
        <v>220000</v>
      </c>
      <c r="F1379" s="240"/>
      <c r="J1379" s="152"/>
      <c r="L1379" s="152">
        <v>100000</v>
      </c>
      <c r="N1379" s="296">
        <f>L1374-L1379</f>
        <v>50000</v>
      </c>
      <c r="AC1379" s="152">
        <v>24663</v>
      </c>
    </row>
    <row r="1380" spans="1:29" ht="15" hidden="1">
      <c r="A1380" s="274"/>
      <c r="B1380" s="239"/>
      <c r="C1380" s="243" t="s">
        <v>2285</v>
      </c>
      <c r="D1380" s="243"/>
      <c r="E1380" s="244">
        <f>674507.62-674507.62</f>
        <v>0</v>
      </c>
      <c r="F1380" s="240"/>
      <c r="J1380" s="152"/>
      <c r="L1380" s="152"/>
      <c r="N1380" s="296"/>
      <c r="AC1380" s="152"/>
    </row>
    <row r="1381" spans="1:29" ht="15">
      <c r="A1381" s="274"/>
      <c r="B1381" s="239"/>
      <c r="C1381" s="243" t="s">
        <v>294</v>
      </c>
      <c r="D1381" s="243"/>
      <c r="E1381" s="240">
        <v>10895.79</v>
      </c>
      <c r="F1381" s="240"/>
      <c r="H1381" s="234" t="s">
        <v>1690</v>
      </c>
      <c r="J1381" s="152"/>
      <c r="L1381" s="152"/>
      <c r="AC1381" s="152">
        <v>123295.75</v>
      </c>
    </row>
    <row r="1382" spans="1:29" ht="15">
      <c r="A1382" s="274"/>
      <c r="B1382" s="239"/>
      <c r="C1382" s="243" t="s">
        <v>1511</v>
      </c>
      <c r="D1382" s="250"/>
      <c r="E1382" s="240">
        <f>767433.53-42700-25200-36000</f>
        <v>663533.53</v>
      </c>
      <c r="F1382" s="240" t="s">
        <v>1691</v>
      </c>
      <c r="H1382" s="234" t="s">
        <v>1692</v>
      </c>
      <c r="J1382" s="152">
        <v>42700</v>
      </c>
      <c r="K1382" s="255" t="s">
        <v>1693</v>
      </c>
      <c r="AC1382" s="152">
        <v>18790</v>
      </c>
    </row>
    <row r="1383" spans="1:29" ht="15" hidden="1">
      <c r="A1383" s="274"/>
      <c r="B1383" s="239"/>
      <c r="C1383" s="243" t="s">
        <v>1694</v>
      </c>
      <c r="D1383" s="250"/>
      <c r="E1383" s="240">
        <f>500000-500000</f>
        <v>0</v>
      </c>
      <c r="F1383" s="240"/>
      <c r="J1383" s="152"/>
      <c r="AC1383" s="152"/>
    </row>
    <row r="1384" spans="1:29" ht="15">
      <c r="A1384" s="274"/>
      <c r="B1384" s="239"/>
      <c r="C1384" s="243" t="s">
        <v>1695</v>
      </c>
      <c r="D1384" s="250"/>
      <c r="E1384" s="240">
        <f>60000</f>
        <v>60000</v>
      </c>
      <c r="F1384" s="240" t="s">
        <v>1827</v>
      </c>
      <c r="J1384" s="152"/>
      <c r="AC1384" s="152">
        <v>6785</v>
      </c>
    </row>
    <row r="1385" spans="1:29" ht="15" hidden="1">
      <c r="A1385" s="274"/>
      <c r="B1385" s="239"/>
      <c r="C1385" s="243" t="s">
        <v>1828</v>
      </c>
      <c r="D1385" s="250"/>
      <c r="E1385" s="240">
        <f>200000-150000-50000</f>
        <v>0</v>
      </c>
      <c r="F1385" s="240"/>
      <c r="G1385" s="247" t="s">
        <v>1829</v>
      </c>
      <c r="J1385" s="152"/>
      <c r="AC1385" s="152">
        <v>51800</v>
      </c>
    </row>
    <row r="1386" spans="1:29" ht="15" hidden="1">
      <c r="A1386" s="274"/>
      <c r="B1386" s="239"/>
      <c r="C1386" s="243" t="s">
        <v>1830</v>
      </c>
      <c r="D1386" s="250"/>
      <c r="E1386" s="240">
        <f>50000-8500-8500-33000</f>
        <v>0</v>
      </c>
      <c r="F1386" s="240"/>
      <c r="G1386" s="234" t="s">
        <v>1831</v>
      </c>
      <c r="I1386" s="234" t="s">
        <v>1786</v>
      </c>
      <c r="J1386" s="152"/>
      <c r="AC1386" s="152">
        <v>3516</v>
      </c>
    </row>
    <row r="1387" spans="1:29" ht="15">
      <c r="A1387" s="274"/>
      <c r="B1387" s="239"/>
      <c r="C1387" s="243" t="s">
        <v>1787</v>
      </c>
      <c r="D1387" s="243"/>
      <c r="E1387" s="244">
        <f>662977+19000+43895-30000-19000+900</f>
        <v>677772</v>
      </c>
      <c r="F1387" s="240"/>
      <c r="G1387" s="322"/>
      <c r="J1387" s="152"/>
      <c r="AC1387" s="152">
        <v>3805</v>
      </c>
    </row>
    <row r="1388" spans="1:29" ht="15">
      <c r="A1388" s="274"/>
      <c r="B1388" s="239"/>
      <c r="C1388" s="243" t="s">
        <v>1788</v>
      </c>
      <c r="D1388" s="243"/>
      <c r="E1388" s="240">
        <f>76686.45-23500-13050-14200</f>
        <v>25936.449999999997</v>
      </c>
      <c r="F1388" s="240"/>
      <c r="G1388" s="249"/>
      <c r="J1388" s="246"/>
      <c r="AC1388" s="152">
        <v>700</v>
      </c>
    </row>
    <row r="1389" spans="1:29" ht="15">
      <c r="A1389" s="274"/>
      <c r="B1389" s="239"/>
      <c r="C1389" s="243" t="s">
        <v>1789</v>
      </c>
      <c r="D1389" s="243"/>
      <c r="E1389" s="240">
        <f>106022.08+20904+7767.4+4784.5-26513.9+10848.55+4978.5+11773.1+4752.2-7391.6+6401.55+23112.05+19088.4-6225.75+20478.1+10468.65+28582.6+8579.3+11623.65+6136.45+105337.2-7631.25-8250</f>
        <v>355625.77999999997</v>
      </c>
      <c r="F1389" s="240"/>
      <c r="J1389" s="151"/>
      <c r="AC1389" s="152">
        <v>100000</v>
      </c>
    </row>
    <row r="1390" spans="1:29" ht="15">
      <c r="A1390" s="274"/>
      <c r="B1390" s="239"/>
      <c r="C1390" s="243" t="s">
        <v>1790</v>
      </c>
      <c r="D1390" s="250"/>
      <c r="E1390" s="240">
        <f>30224.33+39430+4500-18840+2500+1000-14905.69+13030+6500+3500-2490+1600+1100+1500-3820+1000-4525+750+1500+3750+4500-7895+250-10447+2500+1750+6500+1000+7000+1950+150-5495</f>
        <v>69066.64</v>
      </c>
      <c r="F1390" s="240"/>
      <c r="H1390" s="255"/>
      <c r="J1390" s="249"/>
      <c r="AC1390" s="152">
        <v>700</v>
      </c>
    </row>
    <row r="1391" spans="1:29" ht="15">
      <c r="A1391" s="274"/>
      <c r="B1391" s="239"/>
      <c r="C1391" s="243" t="s">
        <v>1791</v>
      </c>
      <c r="D1391" s="243"/>
      <c r="E1391" s="244">
        <v>200000</v>
      </c>
      <c r="F1391" s="240"/>
      <c r="H1391" s="152"/>
      <c r="AC1391" s="152">
        <v>1000</v>
      </c>
    </row>
    <row r="1392" spans="1:29" ht="15.75" thickBot="1">
      <c r="A1392" s="274"/>
      <c r="B1392" s="239"/>
      <c r="C1392" s="243" t="s">
        <v>125</v>
      </c>
      <c r="D1392" s="243"/>
      <c r="E1392" s="240">
        <f>174135.81-18542.12-85000</f>
        <v>70593.69</v>
      </c>
      <c r="F1392" s="240"/>
      <c r="H1392" s="313"/>
      <c r="AC1392" s="152">
        <f>SUM(AC1370:AC1391)</f>
        <v>345019.37</v>
      </c>
    </row>
    <row r="1393" spans="1:29" ht="15">
      <c r="A1393" s="274"/>
      <c r="B1393" s="239"/>
      <c r="C1393" s="243" t="s">
        <v>1196</v>
      </c>
      <c r="D1393" s="243"/>
      <c r="E1393" s="240">
        <f>5000+5000</f>
        <v>10000</v>
      </c>
      <c r="F1393" s="240"/>
      <c r="H1393" s="246"/>
      <c r="AC1393" s="152"/>
    </row>
    <row r="1394" spans="1:29" ht="15">
      <c r="A1394" s="274"/>
      <c r="B1394" s="239"/>
      <c r="C1394" s="243" t="s">
        <v>1197</v>
      </c>
      <c r="D1394" s="250"/>
      <c r="E1394" s="240">
        <f>899016.06+2250+24650+41450+21750-100057.15+54450+53100+158700+162830+131700+29300+162760-266800+151740-593759+181900+123600+26200+312160+175600-272045+238920+119140+171523.2+222763.2-519000-350000-403000</f>
        <v>960841.31</v>
      </c>
      <c r="F1394" s="240"/>
      <c r="AC1394" s="152">
        <v>22971</v>
      </c>
    </row>
    <row r="1395" spans="1:29" ht="15">
      <c r="A1395" s="274"/>
      <c r="B1395" s="239"/>
      <c r="C1395" s="243" t="s">
        <v>1198</v>
      </c>
      <c r="D1395" s="250"/>
      <c r="E1395" s="240">
        <f>1584433.61+138814+298750+596580-143616+566692.15+534165.2-761028.91+114660-937104.4+973410.8+494976+876756.8-2356578.93+196192+539808+685560+603240.8+289196+954924+794624-1745208.96+358824+1434419.2+323004-13336+405760-10462.12+858960.8-1377720-1114838.68-1876787.2-921568+467270.4</f>
        <v>2832772.56</v>
      </c>
      <c r="F1395" s="240"/>
      <c r="G1395" s="152"/>
      <c r="AC1395" s="296">
        <f>SUM(AC1392:AC1394)</f>
        <v>367990.37</v>
      </c>
    </row>
    <row r="1396" spans="1:29" ht="15.75" thickBot="1">
      <c r="A1396" s="274"/>
      <c r="B1396" s="239"/>
      <c r="C1396" s="243" t="s">
        <v>1199</v>
      </c>
      <c r="D1396" s="250"/>
      <c r="E1396" s="240">
        <f>35500+9100+23400+35300+25400+31700+17300-114237.66+20400+18300+35300+41900+37700-160200</f>
        <v>56862.34</v>
      </c>
      <c r="F1396" s="240"/>
      <c r="G1396" s="240"/>
      <c r="K1396" s="256">
        <v>38597</v>
      </c>
      <c r="L1396" s="314">
        <v>235845.09</v>
      </c>
      <c r="V1396" s="234" t="s">
        <v>1200</v>
      </c>
      <c r="AC1396" s="249">
        <v>95506.81</v>
      </c>
    </row>
    <row r="1397" spans="1:29" ht="15">
      <c r="A1397" s="274"/>
      <c r="B1397" s="239"/>
      <c r="C1397" s="243" t="s">
        <v>1201</v>
      </c>
      <c r="D1397" s="250"/>
      <c r="E1397" s="240">
        <f>81031.12+1505+1025+11412.7+18801-21871.6+900</f>
        <v>92803.22</v>
      </c>
      <c r="F1397" s="240"/>
      <c r="G1397" s="246"/>
      <c r="L1397" s="152"/>
      <c r="V1397" s="234" t="s">
        <v>1202</v>
      </c>
      <c r="Y1397" s="152">
        <v>20000</v>
      </c>
      <c r="AC1397" s="249">
        <v>148065</v>
      </c>
    </row>
    <row r="1398" spans="1:29" ht="15">
      <c r="A1398" s="274"/>
      <c r="B1398" s="239"/>
      <c r="C1398" s="243" t="s">
        <v>1294</v>
      </c>
      <c r="D1398" s="250"/>
      <c r="E1398" s="240">
        <f>8650+11100+5700+4200-30426+8000+1950+6900+3300+7800+750+14800+20700+15800+11800+15500+18700+7800+5700-57596</f>
        <v>81128</v>
      </c>
      <c r="F1398" s="240">
        <f>750+14800</f>
        <v>15550</v>
      </c>
      <c r="G1398" s="151">
        <f>+E1398+F1398</f>
        <v>96678</v>
      </c>
      <c r="H1398" s="249">
        <f>57596-G1398</f>
        <v>-39082</v>
      </c>
      <c r="L1398" s="152">
        <v>40000</v>
      </c>
      <c r="N1398" s="234" t="s">
        <v>1295</v>
      </c>
      <c r="P1398" s="234" t="s">
        <v>1296</v>
      </c>
      <c r="Q1398" s="234" t="s">
        <v>1295</v>
      </c>
      <c r="S1398" s="234" t="s">
        <v>1296</v>
      </c>
      <c r="T1398" s="332">
        <v>38601</v>
      </c>
      <c r="V1398" s="234" t="s">
        <v>1202</v>
      </c>
      <c r="Y1398" s="152">
        <v>86397.5</v>
      </c>
      <c r="AC1398" s="249">
        <v>5061746.13</v>
      </c>
    </row>
    <row r="1399" spans="1:29" ht="15">
      <c r="A1399" s="274"/>
      <c r="B1399" s="239"/>
      <c r="C1399" s="243" t="s">
        <v>48</v>
      </c>
      <c r="D1399" s="250"/>
      <c r="E1399" s="240">
        <f>464940.84+24858.05-28871.85+12663.8-7651.35+12817-2903-9314.2+18645.95+24933.9-13256+57577-31270.55+9695-16669.45+14076-4524.8+100000+25133-10016.5+46610-14355.95+18146-6960+15630-39700.95+24596-12456.3+17125.75-6011.5+300-4316+500-300+7308-1262+12989-3340-1922+6672-3826+20226-11988+14250-10148+9510-2910+25871-7795-164+37532-12175+29582-16208</f>
        <v>771871.89000000013</v>
      </c>
      <c r="F1399" s="240"/>
      <c r="G1399" s="151"/>
      <c r="L1399" s="152">
        <v>60116</v>
      </c>
      <c r="N1399" s="234" t="s">
        <v>1297</v>
      </c>
      <c r="P1399" s="234" t="s">
        <v>1296</v>
      </c>
      <c r="Q1399" s="234" t="s">
        <v>1297</v>
      </c>
      <c r="S1399" s="234" t="s">
        <v>1296</v>
      </c>
      <c r="T1399" s="332">
        <v>38601</v>
      </c>
      <c r="AC1399" s="249">
        <v>7530</v>
      </c>
    </row>
    <row r="1400" spans="1:29" ht="15">
      <c r="A1400" s="274"/>
      <c r="B1400" s="239"/>
      <c r="C1400" s="243" t="s">
        <v>1298</v>
      </c>
      <c r="D1400" s="243"/>
      <c r="E1400" s="244">
        <v>500</v>
      </c>
      <c r="F1400" s="240"/>
      <c r="G1400" s="151"/>
      <c r="L1400" s="152">
        <v>10000</v>
      </c>
      <c r="N1400" s="234" t="s">
        <v>1297</v>
      </c>
      <c r="P1400" s="234" t="s">
        <v>1296</v>
      </c>
      <c r="Q1400" s="234" t="s">
        <v>1297</v>
      </c>
      <c r="S1400" s="234" t="s">
        <v>1296</v>
      </c>
      <c r="T1400" s="343" t="s">
        <v>1299</v>
      </c>
      <c r="AC1400" s="249">
        <v>13318.74</v>
      </c>
    </row>
    <row r="1401" spans="1:29" ht="15">
      <c r="A1401" s="274"/>
      <c r="B1401" s="239"/>
      <c r="C1401" s="243" t="s">
        <v>1300</v>
      </c>
      <c r="D1401" s="243"/>
      <c r="E1401" s="244">
        <f>86311.18+2400+52470+1500+300+2160+3960-17341.5+2880+40000-49970+7920-40000-32720</f>
        <v>59869.679999999993</v>
      </c>
      <c r="F1401" s="240" t="s">
        <v>1301</v>
      </c>
      <c r="G1401" s="151">
        <v>42620.35</v>
      </c>
      <c r="H1401" s="299">
        <f>+E1401-G1401-G1402</f>
        <v>-33150.670000000006</v>
      </c>
      <c r="I1401" s="234" t="s">
        <v>1302</v>
      </c>
      <c r="L1401" s="152">
        <v>6950</v>
      </c>
      <c r="N1401" s="234" t="s">
        <v>1303</v>
      </c>
      <c r="Q1401" s="234" t="s">
        <v>1303</v>
      </c>
      <c r="Y1401" s="152">
        <v>1800</v>
      </c>
      <c r="AC1401" s="249">
        <v>406.25</v>
      </c>
    </row>
    <row r="1402" spans="1:29" ht="15">
      <c r="A1402" s="274"/>
      <c r="B1402" s="239"/>
      <c r="C1402" s="243" t="s">
        <v>1304</v>
      </c>
      <c r="D1402" s="243"/>
      <c r="E1402" s="244">
        <f>44068.99</f>
        <v>44068.99</v>
      </c>
      <c r="F1402" s="240" t="s">
        <v>1305</v>
      </c>
      <c r="G1402" s="246">
        <v>50400</v>
      </c>
      <c r="H1402" s="272" t="s">
        <v>1306</v>
      </c>
      <c r="I1402" s="255" t="s">
        <v>1307</v>
      </c>
      <c r="L1402" s="304"/>
      <c r="Y1402" s="152">
        <v>12000</v>
      </c>
      <c r="AC1402" s="249">
        <v>4874.8900000000003</v>
      </c>
    </row>
    <row r="1403" spans="1:29" ht="15.75" thickBot="1">
      <c r="A1403" s="274"/>
      <c r="B1403" s="239"/>
      <c r="C1403" s="243" t="s">
        <v>133</v>
      </c>
      <c r="D1403" s="243"/>
      <c r="E1403" s="244">
        <f>576784.23+75321+175-95010+975+131049-126490+73378-105950+1525-102885+29767.33+1300+14943-65240+300+131813-76910+1115+66397-57200+640+70307-95690+2110+66403-43200+1805+16179+3080-43415+65397-64420+1575+58547-30915+1898+134408-75010+1510+16225-84085+310+71762-127900+420+56283-41341+285+80464-52640+85+280+86635-125285-19415.52+700+188196-76110-33061.48+1050+45188-750+755+141967+1529-130750-16801.37+975+275+66016.5+1600-11705-61338.66+73586-89365+1430+101532-82000+1485+98391-2690-80000+1375</f>
        <v>549928.03</v>
      </c>
      <c r="F1403" s="240"/>
      <c r="G1403" s="151"/>
      <c r="H1403" s="248"/>
      <c r="I1403" s="234" t="s">
        <v>1308</v>
      </c>
      <c r="L1403" s="313"/>
      <c r="Y1403" s="152"/>
    </row>
    <row r="1404" spans="1:29" ht="15" hidden="1">
      <c r="A1404" s="274"/>
      <c r="B1404" s="239"/>
      <c r="C1404" s="243" t="s">
        <v>2096</v>
      </c>
      <c r="D1404" s="243"/>
      <c r="E1404" s="244">
        <f>30000-30000</f>
        <v>0</v>
      </c>
      <c r="F1404" s="240"/>
      <c r="G1404" s="151"/>
      <c r="H1404" s="248"/>
      <c r="L1404" s="246"/>
      <c r="Y1404" s="152"/>
    </row>
    <row r="1405" spans="1:29" ht="15">
      <c r="A1405" s="274"/>
      <c r="B1405" s="239"/>
      <c r="C1405" s="243" t="s">
        <v>2097</v>
      </c>
      <c r="D1405" s="243"/>
      <c r="E1405" s="244">
        <f>748808.43-30400</f>
        <v>718408.43</v>
      </c>
      <c r="F1405" s="240"/>
      <c r="G1405" s="151"/>
      <c r="H1405" s="248"/>
      <c r="I1405" s="234" t="s">
        <v>1313</v>
      </c>
      <c r="L1405" s="246"/>
      <c r="Y1405" s="152">
        <v>4911.75</v>
      </c>
      <c r="AC1405" s="249">
        <v>500</v>
      </c>
    </row>
    <row r="1406" spans="1:29" ht="15">
      <c r="A1406" s="274"/>
      <c r="B1406" s="239"/>
      <c r="C1406" s="243" t="s">
        <v>1314</v>
      </c>
      <c r="D1406" s="243"/>
      <c r="E1406" s="244">
        <f>180000+50000+269200+105000-34000+20000+21200-9400-20400-50309-4500</f>
        <v>526791</v>
      </c>
      <c r="F1406" s="240"/>
      <c r="G1406" s="151"/>
      <c r="H1406" s="248"/>
      <c r="L1406" s="246"/>
      <c r="Y1406" s="152"/>
      <c r="AC1406" s="249"/>
    </row>
    <row r="1407" spans="1:29" ht="15">
      <c r="A1407" s="274"/>
      <c r="B1407" s="239"/>
      <c r="C1407" s="243" t="s">
        <v>1250</v>
      </c>
      <c r="D1407" s="243"/>
      <c r="E1407" s="244">
        <f>204000+848400+68286-7200+5000-374776.61-45000-621500</f>
        <v>77209.390000000014</v>
      </c>
      <c r="F1407" s="240"/>
      <c r="G1407" s="151"/>
      <c r="H1407" s="248"/>
      <c r="L1407" s="246"/>
      <c r="Y1407" s="152"/>
      <c r="AC1407" s="249"/>
    </row>
    <row r="1408" spans="1:29" ht="15">
      <c r="A1408" s="274"/>
      <c r="B1408" s="239"/>
      <c r="C1408" s="250" t="s">
        <v>1315</v>
      </c>
      <c r="D1408" s="250"/>
      <c r="E1408" s="240">
        <v>70.31</v>
      </c>
      <c r="F1408" s="240"/>
      <c r="G1408" s="151" t="s">
        <v>1316</v>
      </c>
      <c r="H1408" s="248"/>
      <c r="I1408" s="234" t="s">
        <v>1317</v>
      </c>
      <c r="L1408" s="246">
        <v>6324</v>
      </c>
      <c r="Y1408" s="152">
        <v>4025.75</v>
      </c>
      <c r="AC1408" s="249">
        <v>189</v>
      </c>
    </row>
    <row r="1409" spans="1:29" ht="15">
      <c r="A1409" s="274"/>
      <c r="B1409" s="239"/>
      <c r="C1409" s="243" t="s">
        <v>1318</v>
      </c>
      <c r="D1409" s="250"/>
      <c r="E1409" s="240">
        <f>6860-4953</f>
        <v>1907</v>
      </c>
      <c r="F1409" s="240"/>
      <c r="G1409" s="151"/>
      <c r="H1409" s="248"/>
      <c r="I1409" s="234" t="s">
        <v>1319</v>
      </c>
      <c r="L1409" s="246"/>
      <c r="Y1409" s="152"/>
      <c r="AC1409" s="249"/>
    </row>
    <row r="1410" spans="1:29" ht="15">
      <c r="A1410" s="274"/>
      <c r="B1410" s="239"/>
      <c r="C1410" s="250" t="s">
        <v>1320</v>
      </c>
      <c r="D1410" s="250"/>
      <c r="E1410" s="151">
        <f>1107738.62+100</f>
        <v>1107838.6200000001</v>
      </c>
      <c r="F1410" s="240"/>
      <c r="G1410" s="151" t="s">
        <v>1321</v>
      </c>
      <c r="H1410" s="248"/>
      <c r="L1410" s="246">
        <f>4108+2680</f>
        <v>6788</v>
      </c>
      <c r="M1410" s="234" t="s">
        <v>1322</v>
      </c>
      <c r="Y1410" s="152">
        <v>249052</v>
      </c>
      <c r="AC1410" s="249">
        <v>3656.16</v>
      </c>
    </row>
    <row r="1411" spans="1:29" ht="15">
      <c r="A1411" s="274"/>
      <c r="B1411" s="239" t="s">
        <v>1323</v>
      </c>
      <c r="C1411" s="243" t="s">
        <v>1324</v>
      </c>
      <c r="D1411" s="243"/>
      <c r="E1411" s="244">
        <f>27226.72</f>
        <v>27226.720000000001</v>
      </c>
      <c r="F1411" s="240"/>
      <c r="G1411" s="246" t="s">
        <v>1325</v>
      </c>
      <c r="H1411" s="248"/>
      <c r="I1411" s="234" t="s">
        <v>1326</v>
      </c>
      <c r="L1411" s="304">
        <f>SUM(L1398:L1410)</f>
        <v>130178</v>
      </c>
      <c r="Y1411" s="152">
        <v>395933.75</v>
      </c>
      <c r="AC1411" s="249">
        <v>177955.36</v>
      </c>
    </row>
    <row r="1412" spans="1:29" ht="15">
      <c r="A1412" s="274"/>
      <c r="B1412" s="239"/>
      <c r="C1412" s="243" t="s">
        <v>397</v>
      </c>
      <c r="D1412" s="243"/>
      <c r="E1412" s="244">
        <v>1500</v>
      </c>
      <c r="F1412" s="240"/>
      <c r="G1412" s="246"/>
      <c r="H1412" s="248"/>
      <c r="L1412" s="304"/>
      <c r="Y1412" s="152"/>
      <c r="AC1412" s="249"/>
    </row>
    <row r="1413" spans="1:29" ht="15">
      <c r="A1413" s="274"/>
      <c r="B1413" s="239"/>
      <c r="C1413" s="243" t="s">
        <v>1327</v>
      </c>
      <c r="D1413" s="243"/>
      <c r="E1413" s="244">
        <f>145000</f>
        <v>145000</v>
      </c>
      <c r="F1413" s="240">
        <v>8</v>
      </c>
      <c r="G1413" s="246"/>
      <c r="H1413" s="248"/>
      <c r="L1413" s="304"/>
      <c r="Y1413" s="152"/>
      <c r="AC1413" s="249"/>
    </row>
    <row r="1414" spans="1:29" ht="15">
      <c r="A1414" s="274"/>
      <c r="B1414" s="239"/>
      <c r="C1414" s="243" t="s">
        <v>1310</v>
      </c>
      <c r="D1414" s="243"/>
      <c r="E1414" s="244">
        <f>132600-129000</f>
        <v>3600</v>
      </c>
      <c r="F1414" s="240"/>
      <c r="G1414" s="246"/>
      <c r="H1414" s="248"/>
      <c r="L1414" s="304"/>
      <c r="Y1414" s="152"/>
      <c r="AC1414" s="249"/>
    </row>
    <row r="1415" spans="1:29" ht="15">
      <c r="A1415" s="274"/>
      <c r="B1415" s="239"/>
      <c r="C1415" s="243" t="s">
        <v>2512</v>
      </c>
      <c r="D1415" s="243"/>
      <c r="E1415" s="244">
        <f>110000+145000-191000+3000</f>
        <v>67000</v>
      </c>
      <c r="F1415" s="240"/>
      <c r="G1415" s="246"/>
      <c r="H1415" s="248"/>
      <c r="L1415" s="304"/>
      <c r="Y1415" s="152"/>
      <c r="AC1415" s="249"/>
    </row>
    <row r="1416" spans="1:29" ht="15">
      <c r="A1416" s="274"/>
      <c r="B1416" s="239"/>
      <c r="C1416" s="243" t="s">
        <v>49</v>
      </c>
      <c r="D1416" s="243"/>
      <c r="E1416" s="244">
        <f>24158.4-24000</f>
        <v>158.40000000000146</v>
      </c>
      <c r="F1416" s="240"/>
      <c r="G1416" s="246"/>
      <c r="H1416" s="248"/>
      <c r="L1416" s="304"/>
      <c r="Y1416" s="152"/>
      <c r="AC1416" s="249"/>
    </row>
    <row r="1417" spans="1:29" ht="15">
      <c r="A1417" s="274"/>
      <c r="B1417" s="239"/>
      <c r="C1417" s="243" t="s">
        <v>1328</v>
      </c>
      <c r="D1417" s="243"/>
      <c r="E1417" s="244">
        <f>1346965.96-4550.08-7456.98-9750-35375.45-7456.98-6349.27-8185.18-12652.5-5505.09-7092.88-7456.98-2000-2000-7821.08-11365.27-3180.09-4550.08-4640.99-5400-29391.4-201485.18-20280-20002.07-23400-7821.08-30051.41-10637.07-16960-7456.98-15500.28-5278.28-2360.52-10237.45-7456.98-1650-13000-9821.08-7500-6760</f>
        <v>747127.28000000014</v>
      </c>
      <c r="F1417" s="291"/>
      <c r="G1417" s="291">
        <f>SUM(G1408:G1411)</f>
        <v>0</v>
      </c>
      <c r="H1417" s="248"/>
      <c r="L1417" s="304">
        <f>L1396-L1411</f>
        <v>105667.09</v>
      </c>
      <c r="M1417" s="234" t="s">
        <v>2510</v>
      </c>
      <c r="Y1417" s="152">
        <v>25407.5</v>
      </c>
      <c r="AC1417" s="249">
        <v>8785.66</v>
      </c>
    </row>
    <row r="1418" spans="1:29" ht="15">
      <c r="A1418" s="274"/>
      <c r="B1418" s="239"/>
      <c r="C1418" s="243" t="s">
        <v>1329</v>
      </c>
      <c r="D1418" s="243"/>
      <c r="E1418" s="244">
        <f>184134.9+13000-74502.5-74250-64815+176038.65+1000+131170.43-154202-283088.25+447456.1-74641.5+121000-53377-4370+349404-1726-149212.5+395505.54-75023.5+35500-90240-106603.5+45000-29239-136823.5+60620-28000-68023.5-6495+3000-170759-130373.5+117500-241819-122625.75+540473.54-108223.25+181357-66640-28000+375056.2-182415-188446.5+58500-109118+163386-324-75000-109118+16704+147263.08-109281+50000-81429+47326.37-28000+62184.08-28000+10494.17+164750-135000-18665</f>
        <v>489954.30999999982</v>
      </c>
      <c r="F1418" s="240"/>
      <c r="G1418" s="151"/>
      <c r="H1418" s="248"/>
      <c r="I1418" s="234" t="s">
        <v>1330</v>
      </c>
      <c r="L1418" s="246">
        <v>3850</v>
      </c>
      <c r="Q1418" s="234" t="s">
        <v>1331</v>
      </c>
      <c r="Y1418" s="152">
        <f>SUM(Y1401:Y1417)</f>
        <v>693130.75</v>
      </c>
      <c r="AC1418" s="249">
        <v>1625180.9</v>
      </c>
    </row>
    <row r="1419" spans="1:29" ht="15">
      <c r="A1419" s="274"/>
      <c r="B1419" s="239"/>
      <c r="C1419" s="243" t="s">
        <v>1332</v>
      </c>
      <c r="D1419" s="243"/>
      <c r="E1419" s="244">
        <f>219486.92+96932.54+125802.84</f>
        <v>442222.30000000005</v>
      </c>
      <c r="F1419" s="240"/>
      <c r="G1419" s="151"/>
      <c r="H1419" s="248"/>
      <c r="L1419" s="246">
        <v>30790</v>
      </c>
      <c r="M1419" s="255" t="s">
        <v>1333</v>
      </c>
      <c r="N1419" s="234" t="s">
        <v>1331</v>
      </c>
      <c r="Y1419" s="152">
        <v>3651069.38</v>
      </c>
      <c r="AC1419" s="249">
        <v>50000</v>
      </c>
    </row>
    <row r="1420" spans="1:29" ht="15">
      <c r="A1420" s="274"/>
      <c r="B1420" s="239"/>
      <c r="C1420" s="243" t="s">
        <v>1334</v>
      </c>
      <c r="D1420" s="250"/>
      <c r="E1420" s="240">
        <f>3939</f>
        <v>3939</v>
      </c>
      <c r="F1420" s="240"/>
      <c r="G1420" s="246"/>
      <c r="H1420" s="151">
        <v>17093</v>
      </c>
      <c r="I1420" s="234" t="s">
        <v>1335</v>
      </c>
      <c r="L1420" s="304">
        <f>L1417-L1418-L1419</f>
        <v>71027.09</v>
      </c>
      <c r="M1420" s="234" t="s">
        <v>1456</v>
      </c>
      <c r="Y1420" s="152">
        <v>370309.25</v>
      </c>
      <c r="AC1420" s="249">
        <f>SUM(AC1395:AC1419)</f>
        <v>7565705.2699999996</v>
      </c>
    </row>
    <row r="1421" spans="1:29" ht="15">
      <c r="A1421" s="274"/>
      <c r="B1421" s="239"/>
      <c r="C1421" s="243" t="s">
        <v>1336</v>
      </c>
      <c r="D1421" s="250"/>
      <c r="E1421" s="240">
        <f>1950000+1900000-873800+85527.62-823200+153926.99-1566560-841000+7482.05+1320713.13+1756806.74-1823974+1201383.39-934820+981343.8-1803601.5+655721.43-577336.1+229018.55-146680+1750159.92-1773740+992697.13-928130+1094883.31-205200+1017315.28-2028400+28665.8+712935.35-879600+1114645.78-994000+697243.11-546000+471706.46-277500+588999.63-489200+2282194.68-1018400+2596061.2-1767160.7+496517.33+148689.33+369508.5-2457780.75+556984.95</f>
        <v>2405048.41</v>
      </c>
      <c r="F1421" s="240"/>
      <c r="G1421" s="151"/>
      <c r="H1421" s="322">
        <f>16875-16875</f>
        <v>0</v>
      </c>
      <c r="L1421" s="246"/>
      <c r="Y1421" s="152"/>
      <c r="AC1421" s="249"/>
    </row>
    <row r="1422" spans="1:29" ht="15">
      <c r="A1422" s="274"/>
      <c r="B1422" s="239"/>
      <c r="C1422" s="243" t="s">
        <v>1337</v>
      </c>
      <c r="D1422" s="250"/>
      <c r="E1422" s="240">
        <f>3600</f>
        <v>3600</v>
      </c>
      <c r="F1422" s="240"/>
      <c r="G1422" s="151"/>
      <c r="H1422" s="151"/>
      <c r="L1422" s="246"/>
      <c r="Y1422" s="152"/>
      <c r="AC1422" s="249"/>
    </row>
    <row r="1423" spans="1:29" ht="15">
      <c r="A1423" s="274"/>
      <c r="B1423" s="239"/>
      <c r="C1423" s="243" t="s">
        <v>1340</v>
      </c>
      <c r="D1423" s="250"/>
      <c r="E1423" s="240">
        <f>13797.5-5500</f>
        <v>8297.5</v>
      </c>
      <c r="F1423" s="240"/>
      <c r="G1423" s="151"/>
      <c r="H1423" s="246"/>
      <c r="I1423" s="234" t="s">
        <v>1339</v>
      </c>
      <c r="L1423" s="246"/>
      <c r="Y1423" s="152"/>
      <c r="AC1423" s="249"/>
    </row>
    <row r="1424" spans="1:29" ht="15">
      <c r="A1424" s="274"/>
      <c r="B1424" s="239"/>
      <c r="C1424" s="243" t="s">
        <v>1358</v>
      </c>
      <c r="D1424" s="243"/>
      <c r="E1424" s="244">
        <f>30264.45</f>
        <v>30264.45</v>
      </c>
      <c r="F1424" s="240"/>
      <c r="G1424" s="152" t="s">
        <v>1341</v>
      </c>
      <c r="H1424" s="151">
        <v>604279.25</v>
      </c>
      <c r="I1424" s="234" t="s">
        <v>1342</v>
      </c>
      <c r="L1424" s="152"/>
      <c r="M1424" s="255"/>
      <c r="Y1424" s="152">
        <v>2500</v>
      </c>
      <c r="AC1424" s="249">
        <v>660726.5</v>
      </c>
    </row>
    <row r="1425" spans="1:29" ht="15">
      <c r="A1425" s="274"/>
      <c r="B1425" s="239"/>
      <c r="C1425" s="243" t="s">
        <v>1338</v>
      </c>
      <c r="D1425" s="250"/>
      <c r="E1425" s="240">
        <f>6480+600+1800+300+300+300+1050+300+600+1500+700+300+300+300+600+6300</f>
        <v>21730</v>
      </c>
      <c r="F1425" s="240"/>
      <c r="G1425" s="152" t="s">
        <v>1359</v>
      </c>
      <c r="H1425" s="246">
        <f>E1418-H1424</f>
        <v>-114324.94000000018</v>
      </c>
      <c r="I1425" s="234" t="s">
        <v>1360</v>
      </c>
      <c r="L1425" s="152"/>
      <c r="M1425" s="255"/>
      <c r="Y1425" s="152">
        <v>109750</v>
      </c>
      <c r="AC1425" s="249">
        <f>SUM(AC1420:AC1424)</f>
        <v>8226431.7699999996</v>
      </c>
    </row>
    <row r="1426" spans="1:29" ht="15">
      <c r="A1426" s="274"/>
      <c r="B1426" s="239"/>
      <c r="C1426" s="243" t="s">
        <v>1361</v>
      </c>
      <c r="D1426" s="243"/>
      <c r="E1426" s="244">
        <v>3412.19</v>
      </c>
      <c r="F1426" s="240"/>
      <c r="G1426" s="152"/>
      <c r="H1426" s="248"/>
      <c r="L1426" s="152"/>
      <c r="M1426" s="255"/>
      <c r="Y1426" s="152">
        <v>234986.75</v>
      </c>
      <c r="AC1426" s="249">
        <v>-8226431.7699999996</v>
      </c>
    </row>
    <row r="1427" spans="1:29" ht="15">
      <c r="A1427" s="274"/>
      <c r="B1427" s="239"/>
      <c r="C1427" s="250" t="s">
        <v>1362</v>
      </c>
      <c r="D1427" s="250"/>
      <c r="E1427" s="240">
        <v>6898.4</v>
      </c>
      <c r="F1427" s="240"/>
      <c r="G1427" s="152"/>
      <c r="H1427" s="248"/>
      <c r="Y1427" s="249">
        <f>SUM(Y1418:Y1426)</f>
        <v>5061746.13</v>
      </c>
      <c r="AC1427" s="249">
        <f>SUM(AC1425:AC1426)</f>
        <v>0</v>
      </c>
    </row>
    <row r="1428" spans="1:29" ht="15">
      <c r="A1428" s="274"/>
      <c r="B1428" s="239"/>
      <c r="C1428" s="250" t="s">
        <v>1363</v>
      </c>
      <c r="D1428" s="250"/>
      <c r="E1428" s="240">
        <v>1942.65</v>
      </c>
      <c r="F1428" s="240"/>
      <c r="G1428" s="152"/>
      <c r="H1428" s="248"/>
    </row>
    <row r="1429" spans="1:29" ht="15">
      <c r="A1429" s="274"/>
      <c r="B1429" s="239"/>
      <c r="C1429" s="243" t="s">
        <v>1743</v>
      </c>
      <c r="D1429" s="250"/>
      <c r="E1429" s="240">
        <f>891+586.5+398.3-315.5+213.5-213.5+34+176-776+88-88+210+124.5+438.5-334.5</f>
        <v>1432.8</v>
      </c>
      <c r="F1429" s="240"/>
      <c r="G1429" s="152"/>
      <c r="H1429" s="248"/>
    </row>
    <row r="1430" spans="1:29" ht="15">
      <c r="A1430" s="274"/>
      <c r="B1430" s="239"/>
      <c r="C1430" s="243" t="s">
        <v>1364</v>
      </c>
      <c r="D1430" s="250"/>
      <c r="E1430" s="240">
        <f>5850</f>
        <v>5850</v>
      </c>
      <c r="F1430" s="240"/>
      <c r="G1430" s="152"/>
    </row>
    <row r="1431" spans="1:29" ht="15">
      <c r="A1431" s="274"/>
      <c r="B1431" s="239"/>
      <c r="C1431" s="243" t="s">
        <v>1365</v>
      </c>
      <c r="D1431" s="243"/>
      <c r="E1431" s="240">
        <f>31876.78</f>
        <v>31876.78</v>
      </c>
      <c r="F1431" s="240"/>
      <c r="G1431" s="152"/>
      <c r="H1431" s="152">
        <v>2658</v>
      </c>
      <c r="I1431" s="255" t="s">
        <v>1366</v>
      </c>
    </row>
    <row r="1432" spans="1:29" ht="15.75" thickBot="1">
      <c r="A1432" s="274"/>
      <c r="B1432" s="239"/>
      <c r="C1432" s="243" t="s">
        <v>1367</v>
      </c>
      <c r="D1432" s="243"/>
      <c r="E1432" s="244">
        <f>49732.54+30500-5250-15295+8300+1000-4600+6100-6900+12550-19815-16790+5000-9200+22800-12190+7000-10120+2800+500-8970+17300-4600+5100-12995+17150-8740+6900-5290+21000-15180+22700-8970-6968.05-4830+9100-5060+900-5520+20250-2760+14700-3910+12600-2530+15800-8625+3800-2760+7300+2300</f>
        <v>115314.49</v>
      </c>
      <c r="F1432" s="240"/>
      <c r="G1432" s="152"/>
      <c r="H1432" s="313">
        <f>E1424-H1431</f>
        <v>27606.45</v>
      </c>
    </row>
    <row r="1433" spans="1:29" ht="15">
      <c r="A1433" s="274"/>
      <c r="B1433" s="239"/>
      <c r="C1433" s="243" t="s">
        <v>270</v>
      </c>
      <c r="D1433" s="243"/>
      <c r="E1433" s="244">
        <v>149288</v>
      </c>
      <c r="F1433" s="240"/>
      <c r="G1433" s="152"/>
      <c r="H1433" s="246"/>
    </row>
    <row r="1434" spans="1:29" ht="15">
      <c r="A1434" s="274"/>
      <c r="B1434" s="239"/>
      <c r="C1434" s="243" t="s">
        <v>1368</v>
      </c>
      <c r="D1434" s="243"/>
      <c r="E1434" s="244">
        <f>395109.66+350000</f>
        <v>745109.65999999992</v>
      </c>
      <c r="F1434" s="240"/>
      <c r="G1434" s="152"/>
      <c r="H1434" s="246"/>
      <c r="N1434" s="238" t="s">
        <v>1456</v>
      </c>
    </row>
    <row r="1435" spans="1:29" ht="15">
      <c r="A1435" s="274"/>
      <c r="B1435" s="239"/>
      <c r="C1435" s="243" t="s">
        <v>1726</v>
      </c>
      <c r="D1435" s="243"/>
      <c r="E1435" s="244">
        <v>500</v>
      </c>
      <c r="F1435" s="240"/>
      <c r="G1435" s="152"/>
      <c r="H1435" s="246"/>
      <c r="N1435" s="238"/>
    </row>
    <row r="1436" spans="1:29" ht="15">
      <c r="A1436" s="274"/>
      <c r="B1436" s="239"/>
      <c r="C1436" s="243" t="s">
        <v>50</v>
      </c>
      <c r="D1436" s="243"/>
      <c r="E1436" s="244">
        <v>6000</v>
      </c>
      <c r="F1436" s="240"/>
      <c r="G1436" s="152"/>
      <c r="H1436" s="246"/>
      <c r="N1436" s="238"/>
    </row>
    <row r="1437" spans="1:29" ht="15">
      <c r="A1437" s="274"/>
      <c r="B1437" s="239"/>
      <c r="C1437" s="243" t="s">
        <v>1371</v>
      </c>
      <c r="D1437" s="243"/>
      <c r="E1437" s="251">
        <f>135908.05-117362.4</f>
        <v>18545.649999999994</v>
      </c>
      <c r="F1437" s="240"/>
      <c r="G1437" s="301">
        <v>2250</v>
      </c>
      <c r="K1437" s="323"/>
      <c r="L1437" s="323"/>
      <c r="M1437" s="344" t="s">
        <v>1370</v>
      </c>
      <c r="N1437" s="249">
        <f>E1437-I1444</f>
        <v>8545.6499999999942</v>
      </c>
    </row>
    <row r="1438" spans="1:29" ht="15">
      <c r="A1438" s="274"/>
      <c r="B1438" s="239"/>
      <c r="C1438" s="243" t="s">
        <v>1372</v>
      </c>
      <c r="D1438" s="243"/>
      <c r="E1438" s="251">
        <f>76840+1900+11400-24245.84</f>
        <v>65894.16</v>
      </c>
      <c r="F1438" s="240"/>
      <c r="G1438" s="301">
        <v>13000</v>
      </c>
      <c r="K1438" s="323"/>
      <c r="L1438" s="323"/>
      <c r="M1438" s="344"/>
      <c r="N1438" s="249"/>
    </row>
    <row r="1439" spans="1:29" ht="15">
      <c r="A1439" s="274"/>
      <c r="B1439" s="239"/>
      <c r="C1439" s="243" t="s">
        <v>1373</v>
      </c>
      <c r="D1439" s="243"/>
      <c r="E1439" s="251">
        <f>119688-119667.74</f>
        <v>20.259999999994761</v>
      </c>
      <c r="F1439" s="240"/>
      <c r="G1439" s="301">
        <v>4225</v>
      </c>
      <c r="K1439" s="323"/>
      <c r="L1439" s="323"/>
      <c r="M1439" s="344"/>
      <c r="N1439" s="249"/>
    </row>
    <row r="1440" spans="1:29" ht="15">
      <c r="A1440" s="274"/>
      <c r="B1440" s="239"/>
      <c r="C1440" s="243" t="s">
        <v>1374</v>
      </c>
      <c r="D1440" s="243"/>
      <c r="E1440" s="251">
        <f>6400</f>
        <v>6400</v>
      </c>
      <c r="F1440" s="240"/>
      <c r="G1440" s="301">
        <v>436006.35</v>
      </c>
      <c r="K1440" s="323"/>
      <c r="L1440" s="323"/>
      <c r="M1440" s="344"/>
      <c r="N1440" s="249"/>
    </row>
    <row r="1441" spans="1:16" ht="15">
      <c r="A1441" s="274"/>
      <c r="B1441" s="239"/>
      <c r="C1441" s="243" t="s">
        <v>1376</v>
      </c>
      <c r="D1441" s="243"/>
      <c r="E1441" s="251">
        <f>28000+100-26080</f>
        <v>2020</v>
      </c>
      <c r="F1441" s="240"/>
      <c r="G1441" s="301">
        <v>963423.25</v>
      </c>
      <c r="K1441" s="323"/>
      <c r="L1441" s="323"/>
      <c r="M1441" s="344"/>
      <c r="N1441" s="249"/>
    </row>
    <row r="1442" spans="1:16" ht="15">
      <c r="A1442" s="274"/>
      <c r="B1442" s="239"/>
      <c r="C1442" s="243" t="s">
        <v>1375</v>
      </c>
      <c r="D1442" s="243"/>
      <c r="E1442" s="251">
        <f>282303.32</f>
        <v>282303.32</v>
      </c>
      <c r="F1442" s="240"/>
      <c r="G1442" s="151">
        <v>138814</v>
      </c>
      <c r="H1442" s="255"/>
      <c r="L1442" s="320"/>
      <c r="M1442" s="320"/>
      <c r="O1442" s="152"/>
      <c r="P1442" s="340"/>
    </row>
    <row r="1443" spans="1:16" ht="15">
      <c r="A1443" s="274"/>
      <c r="B1443" s="239"/>
      <c r="C1443" s="243" t="s">
        <v>1887</v>
      </c>
      <c r="D1443" s="243"/>
      <c r="E1443" s="251">
        <v>1000</v>
      </c>
      <c r="F1443" s="240"/>
      <c r="G1443" s="151"/>
      <c r="H1443" s="255"/>
      <c r="L1443" s="320"/>
      <c r="M1443" s="320"/>
      <c r="O1443" s="152"/>
      <c r="P1443" s="340"/>
    </row>
    <row r="1444" spans="1:16" ht="15">
      <c r="A1444" s="274"/>
      <c r="B1444" s="239"/>
      <c r="C1444" s="243" t="s">
        <v>1369</v>
      </c>
      <c r="D1444" s="243"/>
      <c r="E1444" s="251">
        <v>18100</v>
      </c>
      <c r="F1444" s="240"/>
      <c r="G1444" s="151">
        <v>27400</v>
      </c>
      <c r="H1444" s="345"/>
      <c r="I1444" s="253">
        <v>10000</v>
      </c>
      <c r="J1444" s="323" t="s">
        <v>1377</v>
      </c>
      <c r="L1444" s="320"/>
      <c r="M1444" s="320"/>
      <c r="O1444" s="152"/>
      <c r="P1444" s="340"/>
    </row>
    <row r="1445" spans="1:16" ht="15">
      <c r="A1445" s="274"/>
      <c r="B1445" s="239"/>
      <c r="C1445" s="243" t="s">
        <v>1378</v>
      </c>
      <c r="D1445" s="243"/>
      <c r="E1445" s="251">
        <v>1000</v>
      </c>
      <c r="F1445" s="240"/>
      <c r="G1445" s="151"/>
      <c r="H1445" s="345"/>
      <c r="I1445" s="253"/>
      <c r="J1445" s="323"/>
      <c r="L1445" s="320"/>
      <c r="M1445" s="320"/>
      <c r="O1445" s="152"/>
      <c r="P1445" s="340"/>
    </row>
    <row r="1446" spans="1:16" ht="15">
      <c r="A1446" s="274"/>
      <c r="B1446" s="239"/>
      <c r="C1446" s="243" t="s">
        <v>1380</v>
      </c>
      <c r="D1446" s="243"/>
      <c r="E1446" s="251">
        <f>842683</f>
        <v>842683</v>
      </c>
      <c r="F1446" s="240"/>
      <c r="G1446" s="151"/>
      <c r="H1446" s="345"/>
      <c r="I1446" s="253"/>
      <c r="J1446" s="323"/>
      <c r="L1446" s="320"/>
      <c r="M1446" s="320"/>
      <c r="O1446" s="152"/>
      <c r="P1446" s="340"/>
    </row>
    <row r="1447" spans="1:16" ht="15" hidden="1">
      <c r="A1447" s="274"/>
      <c r="B1447" s="239"/>
      <c r="C1447" s="243" t="s">
        <v>1382</v>
      </c>
      <c r="D1447" s="243"/>
      <c r="E1447" s="240">
        <f>22000+43000+34500-107000+7500</f>
        <v>0</v>
      </c>
      <c r="F1447" s="240"/>
      <c r="G1447" s="151">
        <v>243699.1</v>
      </c>
      <c r="H1447" s="345"/>
      <c r="I1447" s="253"/>
      <c r="J1447" s="323"/>
      <c r="L1447" s="320"/>
      <c r="M1447" s="320"/>
      <c r="O1447" s="152"/>
      <c r="P1447" s="340"/>
    </row>
    <row r="1448" spans="1:16" ht="15">
      <c r="A1448" s="274"/>
      <c r="B1448" s="239"/>
      <c r="C1448" s="243" t="s">
        <v>1379</v>
      </c>
      <c r="D1448" s="243"/>
      <c r="E1448" s="251">
        <v>596000</v>
      </c>
      <c r="F1448" s="240"/>
      <c r="G1448" s="151"/>
      <c r="H1448" s="345"/>
      <c r="I1448" s="253"/>
      <c r="J1448" s="323"/>
      <c r="L1448" s="320"/>
      <c r="M1448" s="320"/>
      <c r="O1448" s="152"/>
      <c r="P1448" s="340"/>
    </row>
    <row r="1449" spans="1:16" ht="15" hidden="1">
      <c r="A1449" s="274"/>
      <c r="B1449" s="239"/>
      <c r="C1449" s="243" t="s">
        <v>1381</v>
      </c>
      <c r="D1449" s="243"/>
      <c r="E1449" s="251">
        <f>-1000+1000-1000-1000+1000-2000+1000+1000-1000+1000-1000+2000</f>
        <v>0</v>
      </c>
      <c r="F1449" s="240"/>
      <c r="G1449" s="151"/>
      <c r="H1449" s="345"/>
      <c r="I1449" s="253"/>
      <c r="J1449" s="323"/>
      <c r="L1449" s="320"/>
      <c r="M1449" s="320"/>
      <c r="O1449" s="152"/>
      <c r="P1449" s="340"/>
    </row>
    <row r="1450" spans="1:16" ht="15">
      <c r="A1450" s="274"/>
      <c r="B1450" s="239"/>
      <c r="C1450" s="243" t="s">
        <v>1381</v>
      </c>
      <c r="D1450" s="243"/>
      <c r="E1450" s="240">
        <f>400+700+1000-1000-1000+1000-1000-1000-1000+1000-2272.23+2272.23+2278-2278+2278-2278+2333-2278+2278-2278+2278-2278+2278</f>
        <v>1433</v>
      </c>
      <c r="F1450" s="240"/>
      <c r="G1450" s="151">
        <v>53864.6</v>
      </c>
      <c r="H1450" s="345"/>
      <c r="I1450" s="253"/>
      <c r="J1450" s="323"/>
      <c r="L1450" s="320"/>
      <c r="M1450" s="320"/>
      <c r="O1450" s="152"/>
      <c r="P1450" s="340"/>
    </row>
    <row r="1451" spans="1:16" ht="15">
      <c r="A1451" s="274"/>
      <c r="B1451" s="239"/>
      <c r="C1451" s="243" t="s">
        <v>1383</v>
      </c>
      <c r="D1451" s="243"/>
      <c r="E1451" s="240">
        <f>124347.55+4050-8260.98</f>
        <v>120136.57</v>
      </c>
      <c r="F1451" s="240"/>
      <c r="G1451" s="151">
        <v>20904</v>
      </c>
      <c r="H1451" s="151"/>
      <c r="I1451" s="152">
        <v>750</v>
      </c>
      <c r="J1451" s="255" t="s">
        <v>1384</v>
      </c>
      <c r="L1451" s="320"/>
      <c r="M1451" s="320"/>
      <c r="O1451" s="152"/>
      <c r="P1451" s="340"/>
    </row>
    <row r="1452" spans="1:16" ht="15">
      <c r="A1452" s="274"/>
      <c r="B1452" s="239"/>
      <c r="C1452" s="243" t="s">
        <v>1385</v>
      </c>
      <c r="D1452" s="250"/>
      <c r="E1452" s="251">
        <f>72664.43</f>
        <v>72664.429999999993</v>
      </c>
      <c r="F1452" s="240"/>
      <c r="G1452" s="151">
        <v>12340</v>
      </c>
      <c r="H1452" s="151"/>
      <c r="I1452" s="152"/>
      <c r="J1452" s="255"/>
    </row>
    <row r="1453" spans="1:16" ht="15">
      <c r="A1453" s="274"/>
      <c r="B1453" s="239"/>
      <c r="C1453" s="243" t="s">
        <v>1386</v>
      </c>
      <c r="D1453" s="243"/>
      <c r="E1453" s="244">
        <f>483052.82</f>
        <v>483052.82</v>
      </c>
      <c r="F1453" s="240"/>
      <c r="G1453" s="151">
        <v>11100</v>
      </c>
      <c r="H1453" s="151"/>
      <c r="I1453" s="152"/>
      <c r="J1453" s="255"/>
    </row>
    <row r="1454" spans="1:16" ht="15">
      <c r="A1454" s="242"/>
      <c r="B1454" s="239"/>
      <c r="C1454" s="250" t="s">
        <v>1388</v>
      </c>
      <c r="D1454" s="250"/>
      <c r="E1454" s="240">
        <v>14540</v>
      </c>
      <c r="F1454" s="240"/>
      <c r="G1454" s="151"/>
      <c r="H1454" s="290"/>
      <c r="I1454" s="152"/>
      <c r="J1454" s="255"/>
    </row>
    <row r="1455" spans="1:16" ht="15">
      <c r="A1455" s="274"/>
      <c r="B1455" s="239"/>
      <c r="C1455" s="243" t="s">
        <v>1389</v>
      </c>
      <c r="D1455" s="243"/>
      <c r="E1455" s="244">
        <f>30000</f>
        <v>30000</v>
      </c>
      <c r="F1455" s="240"/>
      <c r="G1455" s="151"/>
      <c r="H1455" s="290"/>
      <c r="I1455" s="152"/>
      <c r="J1455" s="255"/>
    </row>
    <row r="1456" spans="1:16" ht="15" hidden="1">
      <c r="A1456" s="274"/>
      <c r="B1456" s="239"/>
      <c r="C1456" s="243" t="s">
        <v>1387</v>
      </c>
      <c r="D1456" s="243"/>
      <c r="E1456" s="244">
        <f>400000-400000</f>
        <v>0</v>
      </c>
      <c r="F1456" s="240"/>
      <c r="G1456" s="151">
        <v>24858.05</v>
      </c>
      <c r="H1456" s="290"/>
      <c r="I1456" s="152"/>
      <c r="J1456" s="255"/>
    </row>
    <row r="1457" spans="1:22" ht="15">
      <c r="A1457" s="274"/>
      <c r="B1457" s="239"/>
      <c r="C1457" s="243" t="s">
        <v>2202</v>
      </c>
      <c r="D1457" s="243"/>
      <c r="E1457" s="244">
        <f>361043-8920.25+14700-9945-5675-9262.68</f>
        <v>341940.07</v>
      </c>
      <c r="F1457" s="240"/>
      <c r="G1457" s="151">
        <v>75321</v>
      </c>
      <c r="H1457" s="151"/>
      <c r="I1457" s="152"/>
      <c r="J1457" s="255"/>
      <c r="O1457" s="152"/>
      <c r="P1457" s="255"/>
      <c r="S1457" s="322"/>
      <c r="T1457" s="255"/>
    </row>
    <row r="1458" spans="1:22" ht="15">
      <c r="A1458" s="274"/>
      <c r="B1458" s="239"/>
      <c r="C1458" s="243" t="s">
        <v>2203</v>
      </c>
      <c r="D1458" s="243"/>
      <c r="E1458" s="244">
        <f>73735.01+2000+8027.5+8800+5017+20648-11823+7195+5365+11730+15700+16200+8705-32650-4735.27+3895-13690+21940-2000+9100+36815.5+10735-56000+16307+8285+28655-57875+3110+17445+13427+14555+5652+14185-7750-41535</f>
        <v>159170.74000000002</v>
      </c>
      <c r="F1458" s="240"/>
      <c r="G1458" s="151">
        <v>42542.75</v>
      </c>
      <c r="H1458" s="151"/>
      <c r="I1458" s="152"/>
      <c r="J1458" s="255"/>
      <c r="L1458" s="152"/>
      <c r="O1458" s="152"/>
      <c r="P1458" s="255"/>
      <c r="S1458" s="152"/>
    </row>
    <row r="1459" spans="1:22" ht="15">
      <c r="A1459" s="274"/>
      <c r="B1459" s="239"/>
      <c r="C1459" s="243" t="s">
        <v>1657</v>
      </c>
      <c r="D1459" s="243"/>
      <c r="E1459" s="244">
        <f>44110-34752+1000+12121.5+7258</f>
        <v>29737.5</v>
      </c>
      <c r="F1459" s="240"/>
      <c r="G1459" s="151"/>
      <c r="H1459" s="151"/>
      <c r="I1459" s="152"/>
      <c r="J1459" s="255"/>
      <c r="L1459" s="152"/>
      <c r="O1459" s="152"/>
      <c r="P1459" s="255"/>
      <c r="S1459" s="152"/>
    </row>
    <row r="1460" spans="1:22" ht="15">
      <c r="A1460" s="274"/>
      <c r="B1460" s="239"/>
      <c r="C1460" s="243" t="s">
        <v>2204</v>
      </c>
      <c r="D1460" s="243"/>
      <c r="E1460" s="244">
        <f>59200-30000</f>
        <v>29200</v>
      </c>
      <c r="F1460" s="240"/>
      <c r="G1460" s="151">
        <v>96932.54</v>
      </c>
      <c r="H1460" s="151"/>
      <c r="I1460" s="152"/>
      <c r="J1460" s="255"/>
      <c r="O1460" s="152"/>
      <c r="P1460" s="255"/>
      <c r="S1460" s="304"/>
    </row>
    <row r="1461" spans="1:22" ht="15">
      <c r="A1461" s="274"/>
      <c r="B1461" s="239"/>
      <c r="C1461" s="243" t="s">
        <v>2205</v>
      </c>
      <c r="D1461" s="243"/>
      <c r="E1461" s="244">
        <f>-77749.03+1624226-58156-54253.66-15300-40280.84+2800000-940316-25300-107100-46140-216248-76454.22-440035.52-11080.24-6250.2-55920-16376.78-16558.6-529410-477167.5-6250.2-22753-145000-19332.78-10000-9718.38-3100-14689.77-17198-16350-18010-186130-15432+2000000-139387.9-17330.44-36800-21253.5-36404.31-14429-43920-27299.4-2920-24822.47-31020-5245.11-18400</f>
        <v>2310933.1499999994</v>
      </c>
      <c r="F1461" s="240"/>
      <c r="G1461" s="151">
        <v>1900000</v>
      </c>
      <c r="H1461" s="151"/>
      <c r="I1461" s="152"/>
      <c r="J1461" s="255"/>
      <c r="P1461" s="320"/>
      <c r="S1461" s="259"/>
      <c r="U1461" s="256">
        <v>38689</v>
      </c>
      <c r="V1461" s="234" t="s">
        <v>2206</v>
      </c>
    </row>
    <row r="1462" spans="1:22" ht="15">
      <c r="A1462" s="274"/>
      <c r="B1462" s="239"/>
      <c r="C1462" s="243" t="s">
        <v>2208</v>
      </c>
      <c r="D1462" s="243"/>
      <c r="E1462" s="244">
        <f>10000+500+13400</f>
        <v>23900</v>
      </c>
      <c r="F1462" s="240"/>
      <c r="G1462" s="151"/>
      <c r="H1462" s="151"/>
      <c r="I1462" s="152"/>
      <c r="J1462" s="255"/>
      <c r="P1462" s="320"/>
      <c r="S1462" s="259"/>
      <c r="U1462" s="256"/>
    </row>
    <row r="1463" spans="1:22" ht="15">
      <c r="A1463" s="274"/>
      <c r="B1463" s="239"/>
      <c r="C1463" s="243" t="s">
        <v>1125</v>
      </c>
      <c r="D1463" s="243"/>
      <c r="E1463" s="244">
        <v>2280</v>
      </c>
      <c r="F1463" s="240"/>
      <c r="G1463" s="151"/>
      <c r="H1463" s="151"/>
      <c r="I1463" s="152"/>
      <c r="J1463" s="255"/>
      <c r="P1463" s="320"/>
      <c r="S1463" s="259"/>
      <c r="U1463" s="256"/>
    </row>
    <row r="1464" spans="1:22" ht="15">
      <c r="A1464" s="274"/>
      <c r="B1464" s="239"/>
      <c r="C1464" s="243" t="s">
        <v>2207</v>
      </c>
      <c r="D1464" s="243"/>
      <c r="E1464" s="244">
        <f>1380+58570-23200+3000-7500-6234+500-2680</f>
        <v>23836</v>
      </c>
      <c r="G1464" s="151">
        <v>3600</v>
      </c>
      <c r="H1464" s="151">
        <f>+[8]schedule!$E$1440</f>
        <v>6367191.849999995</v>
      </c>
      <c r="I1464" s="152"/>
      <c r="J1464" s="255"/>
      <c r="P1464" s="320"/>
      <c r="S1464" s="259"/>
      <c r="U1464" s="256"/>
    </row>
    <row r="1465" spans="1:22" ht="15">
      <c r="A1465" s="274"/>
      <c r="B1465" s="239"/>
      <c r="C1465" s="243" t="s">
        <v>2209</v>
      </c>
      <c r="D1465" s="243"/>
      <c r="E1465" s="244">
        <f>5562134.16-1239555.01-948500-790-50000-3704-39000-17023.48-41253.26-275906.5-86792.08-6210-3360</f>
        <v>2850039.8300000005</v>
      </c>
      <c r="G1465" s="151">
        <v>39430</v>
      </c>
      <c r="H1465" s="151">
        <f>+H1464+791153.07-42822.77-66150.08-292800-105400-213200.25-84684.59</f>
        <v>6353287.2299999958</v>
      </c>
      <c r="I1465" s="152"/>
      <c r="J1465" s="255"/>
      <c r="P1465" s="320"/>
      <c r="S1465" s="259"/>
      <c r="U1465" s="256"/>
    </row>
    <row r="1466" spans="1:22" ht="15">
      <c r="A1466" s="274"/>
      <c r="B1466" s="239"/>
      <c r="C1466" s="243" t="s">
        <v>394</v>
      </c>
      <c r="D1466" s="243"/>
      <c r="E1466" s="244">
        <f>618065.12+791153.07+626640.65-1900</f>
        <v>2033958.8399999999</v>
      </c>
      <c r="G1466" s="151"/>
      <c r="H1466" s="151"/>
      <c r="I1466" s="152"/>
      <c r="J1466" s="255"/>
      <c r="P1466" s="320"/>
      <c r="S1466" s="259"/>
      <c r="U1466" s="256"/>
    </row>
    <row r="1467" spans="1:22" ht="15">
      <c r="A1467" s="274"/>
      <c r="B1467" s="239"/>
      <c r="C1467" s="243" t="s">
        <v>1002</v>
      </c>
      <c r="D1467" s="243"/>
      <c r="E1467" s="244">
        <f>641565.07+612914.36+794149.18</f>
        <v>2048628.6099999999</v>
      </c>
      <c r="G1467" s="151"/>
      <c r="H1467" s="151"/>
      <c r="I1467" s="152"/>
      <c r="J1467" s="255"/>
      <c r="P1467" s="320"/>
      <c r="S1467" s="259"/>
      <c r="U1467" s="256"/>
    </row>
    <row r="1468" spans="1:22" ht="15">
      <c r="A1468" s="274"/>
      <c r="B1468" s="239"/>
      <c r="C1468" s="243" t="s">
        <v>2210</v>
      </c>
      <c r="D1468" s="243"/>
      <c r="E1468" s="244">
        <f>13900-13800-29610-44126+85000+13900-13860-1500-9618</f>
        <v>286</v>
      </c>
      <c r="G1468" s="151">
        <v>600</v>
      </c>
      <c r="H1468" s="151"/>
      <c r="I1468" s="152"/>
      <c r="J1468" s="255"/>
      <c r="P1468" s="320"/>
      <c r="S1468" s="259"/>
      <c r="U1468" s="256"/>
    </row>
    <row r="1469" spans="1:22" ht="15.75" thickBot="1">
      <c r="A1469" s="274"/>
      <c r="B1469" s="239"/>
      <c r="C1469" s="268" t="s">
        <v>2229</v>
      </c>
      <c r="D1469" s="243"/>
      <c r="E1469" s="269">
        <f>SUM(E1324:E1468)</f>
        <v>44506195.810000002</v>
      </c>
      <c r="F1469" s="249">
        <f>+E1469-TB!J189</f>
        <v>44704329.400000006</v>
      </c>
      <c r="G1469" s="152">
        <v>30500</v>
      </c>
      <c r="H1469" s="151"/>
      <c r="I1469" s="152"/>
      <c r="J1469" s="255"/>
      <c r="P1469" s="320"/>
      <c r="S1469" s="259"/>
      <c r="U1469" s="256"/>
    </row>
    <row r="1470" spans="1:22" ht="15.75" thickTop="1">
      <c r="A1470" s="274"/>
      <c r="B1470" s="239"/>
      <c r="C1470" s="268"/>
      <c r="D1470" s="243"/>
      <c r="E1470" s="346"/>
      <c r="F1470" s="299"/>
      <c r="G1470" s="152">
        <v>2100</v>
      </c>
      <c r="H1470" s="151"/>
      <c r="I1470" s="152"/>
      <c r="P1470" s="320"/>
      <c r="S1470" s="259"/>
      <c r="U1470" s="256"/>
    </row>
    <row r="1471" spans="1:22" ht="15">
      <c r="A1471" s="274"/>
      <c r="B1471" s="239"/>
      <c r="C1471" s="250"/>
      <c r="D1471" s="243"/>
      <c r="E1471" s="270"/>
      <c r="F1471" s="249">
        <f>+F1469/2</f>
        <v>22352164.700000003</v>
      </c>
      <c r="G1471" s="152">
        <v>8027.5</v>
      </c>
      <c r="H1471" s="151"/>
      <c r="I1471" s="151" t="s">
        <v>1456</v>
      </c>
      <c r="P1471" s="320"/>
      <c r="S1471" s="259"/>
      <c r="U1471" s="256"/>
    </row>
    <row r="1472" spans="1:22" ht="15">
      <c r="A1472" s="234" t="s">
        <v>2211</v>
      </c>
      <c r="B1472" s="239"/>
      <c r="C1472" s="243"/>
      <c r="D1472" s="243"/>
      <c r="E1472" s="244"/>
      <c r="F1472" s="270"/>
      <c r="G1472" s="152">
        <v>974318.21</v>
      </c>
      <c r="H1472" s="151"/>
      <c r="I1472" s="151"/>
      <c r="P1472" s="320"/>
      <c r="S1472" s="259"/>
      <c r="U1472" s="256"/>
    </row>
    <row r="1473" spans="1:21" ht="15">
      <c r="A1473" s="274"/>
      <c r="B1473" s="239"/>
      <c r="C1473" s="243"/>
      <c r="D1473" s="243"/>
      <c r="E1473" s="244"/>
      <c r="F1473" s="270"/>
      <c r="G1473" s="152">
        <f>SUM(G1437:G1472)</f>
        <v>5125256.3499999996</v>
      </c>
      <c r="H1473" s="151">
        <v>30000</v>
      </c>
      <c r="I1473" s="317" t="e">
        <f>#REF!-H1473</f>
        <v>#REF!</v>
      </c>
      <c r="J1473" s="255"/>
      <c r="P1473" s="320"/>
      <c r="S1473" s="259"/>
      <c r="U1473" s="256"/>
    </row>
    <row r="1474" spans="1:21" ht="15">
      <c r="A1474" s="274"/>
      <c r="B1474" s="239"/>
      <c r="C1474" s="250"/>
      <c r="D1474" s="250"/>
      <c r="E1474" s="151"/>
      <c r="F1474" s="270"/>
      <c r="G1474" s="152"/>
      <c r="H1474" s="152"/>
      <c r="I1474" s="152"/>
      <c r="J1474" s="255"/>
      <c r="S1474" s="249"/>
      <c r="T1474" s="321"/>
    </row>
    <row r="1475" spans="1:21" ht="15">
      <c r="A1475" s="347" t="s">
        <v>2212</v>
      </c>
      <c r="B1475" s="347"/>
      <c r="E1475" s="152"/>
      <c r="F1475" s="298"/>
      <c r="H1475" s="152"/>
      <c r="I1475" s="152"/>
      <c r="J1475" s="255"/>
    </row>
    <row r="1476" spans="1:21">
      <c r="A1476" s="348" t="s">
        <v>1183</v>
      </c>
      <c r="B1476" s="348"/>
      <c r="C1476" s="348"/>
      <c r="E1476" s="152"/>
      <c r="G1476" s="152"/>
      <c r="H1476" s="152" t="s">
        <v>2213</v>
      </c>
      <c r="I1476" s="152">
        <v>4200</v>
      </c>
      <c r="J1476" s="255" t="s">
        <v>2214</v>
      </c>
    </row>
    <row r="1477" spans="1:21">
      <c r="E1477" s="249"/>
      <c r="F1477" s="249"/>
      <c r="G1477" s="152"/>
      <c r="H1477" s="152" t="s">
        <v>2213</v>
      </c>
      <c r="I1477" s="152">
        <v>2200</v>
      </c>
      <c r="J1477" s="255" t="s">
        <v>2214</v>
      </c>
    </row>
    <row r="1478" spans="1:21">
      <c r="G1478" s="152"/>
      <c r="H1478" s="234" t="s">
        <v>2215</v>
      </c>
      <c r="I1478" s="152">
        <v>4200</v>
      </c>
      <c r="J1478" s="255" t="s">
        <v>2214</v>
      </c>
    </row>
    <row r="1479" spans="1:21">
      <c r="G1479" s="152"/>
      <c r="H1479" s="234" t="s">
        <v>2215</v>
      </c>
      <c r="I1479" s="152">
        <v>2200</v>
      </c>
      <c r="J1479" s="255" t="s">
        <v>2214</v>
      </c>
    </row>
    <row r="1480" spans="1:21">
      <c r="G1480" s="152"/>
      <c r="I1480" s="304">
        <f>SUM(I1474:I1479)</f>
        <v>12800</v>
      </c>
    </row>
    <row r="1481" spans="1:21">
      <c r="G1481" s="152"/>
      <c r="H1481" s="234" t="s">
        <v>1456</v>
      </c>
      <c r="I1481" s="249" t="e">
        <f>I1473-I1480</f>
        <v>#REF!</v>
      </c>
    </row>
    <row r="1482" spans="1:21">
      <c r="E1482" s="234" t="s">
        <v>2216</v>
      </c>
      <c r="G1482" s="152"/>
    </row>
    <row r="1483" spans="1:21">
      <c r="G1483" s="152"/>
    </row>
    <row r="1484" spans="1:21">
      <c r="G1484" s="152"/>
    </row>
    <row r="1485" spans="1:21">
      <c r="G1485" s="152"/>
    </row>
    <row r="1486" spans="1:21">
      <c r="G1486" s="152"/>
    </row>
    <row r="1487" spans="1:21">
      <c r="G1487" s="152"/>
    </row>
    <row r="1488" spans="1:21">
      <c r="G1488" s="152"/>
    </row>
    <row r="1489" spans="7:7">
      <c r="G1489" s="152"/>
    </row>
    <row r="1490" spans="7:7">
      <c r="G1490" s="152"/>
    </row>
    <row r="1491" spans="7:7">
      <c r="G1491" s="152"/>
    </row>
    <row r="1492" spans="7:7">
      <c r="G1492" s="152"/>
    </row>
    <row r="1493" spans="7:7">
      <c r="G1493" s="152"/>
    </row>
  </sheetData>
  <mergeCells count="1">
    <mergeCell ref="A7:E7"/>
  </mergeCells>
  <phoneticPr fontId="34" type="noConversion"/>
  <printOptions horizontalCentered="1"/>
  <pageMargins left="1" right="1" top="1" bottom="1" header="0.5" footer="0.5"/>
  <pageSetup paperSize="149" scale="85" orientation="portrait" horizontalDpi="300" verticalDpi="300" r:id="rId1"/>
  <headerFooter alignWithMargins="0">
    <oddFoote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TB</vt:lpstr>
      <vt:lpstr>CASH FLOWS</vt:lpstr>
      <vt:lpstr>BS</vt:lpstr>
      <vt:lpstr>Comparative BS</vt:lpstr>
      <vt:lpstr>SIE</vt:lpstr>
      <vt:lpstr>SGE</vt:lpstr>
      <vt:lpstr>schedule</vt:lpstr>
      <vt:lpstr>BS!Print_Area</vt:lpstr>
      <vt:lpstr>schedule!Print_Area</vt:lpstr>
      <vt:lpstr>SGE!Print_Area</vt:lpstr>
      <vt:lpstr>SIE!Print_Area</vt:lpstr>
      <vt:lpstr>TB!Print_Titles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TRIAL BALANCE SEF</dc:title>
  <dc:creator>unknown</dc:creator>
  <cp:lastModifiedBy>YSAEI</cp:lastModifiedBy>
  <cp:lastPrinted>2011-02-13T04:56:45Z</cp:lastPrinted>
  <dcterms:created xsi:type="dcterms:W3CDTF">1999-05-18T06:24:54Z</dcterms:created>
  <dcterms:modified xsi:type="dcterms:W3CDTF">2011-11-29T18:19:18Z</dcterms:modified>
</cp:coreProperties>
</file>